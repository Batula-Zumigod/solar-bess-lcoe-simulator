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tula.g\Downloads\OneDrive_2026-04-06\Batula 2026 4 6\"/>
    </mc:Choice>
  </mc:AlternateContent>
  <xr:revisionPtr revIDLastSave="0" documentId="13_ncr:1_{494DC583-2264-4347-81EB-126C0930EFD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761" i="1" l="1"/>
  <c r="B8760" i="1"/>
  <c r="B8759" i="1"/>
  <c r="B8758" i="1"/>
  <c r="B8757" i="1"/>
  <c r="B8756" i="1"/>
  <c r="B8755" i="1"/>
  <c r="B8754" i="1"/>
  <c r="B8753" i="1"/>
  <c r="B8752" i="1"/>
  <c r="B8751" i="1"/>
  <c r="B8750" i="1"/>
  <c r="B8749" i="1"/>
  <c r="B8748" i="1"/>
  <c r="B8747" i="1"/>
  <c r="B8746" i="1"/>
  <c r="B8745" i="1"/>
  <c r="B8744" i="1"/>
  <c r="B8743" i="1"/>
  <c r="B8742" i="1"/>
  <c r="B8741" i="1"/>
  <c r="B8740" i="1"/>
  <c r="B8739" i="1"/>
  <c r="B8738" i="1"/>
  <c r="B8737" i="1"/>
  <c r="B8736" i="1"/>
  <c r="B8735" i="1"/>
  <c r="B8734" i="1"/>
  <c r="B8733" i="1"/>
  <c r="B8732" i="1"/>
  <c r="B8731" i="1"/>
  <c r="B8730" i="1"/>
  <c r="B8729" i="1"/>
  <c r="B8728" i="1"/>
  <c r="B8727" i="1"/>
  <c r="B8726" i="1"/>
  <c r="B8725" i="1"/>
  <c r="B8724" i="1"/>
  <c r="B8723" i="1"/>
  <c r="B8722" i="1"/>
  <c r="B8721" i="1"/>
  <c r="B8720" i="1"/>
  <c r="B8719" i="1"/>
  <c r="B8718" i="1"/>
  <c r="B8717" i="1"/>
  <c r="B8716" i="1"/>
  <c r="B8715" i="1"/>
  <c r="B8714" i="1"/>
  <c r="B8713" i="1"/>
  <c r="B8712" i="1"/>
  <c r="B8711" i="1"/>
  <c r="B8710" i="1"/>
  <c r="B8709" i="1"/>
  <c r="B8708" i="1"/>
  <c r="B8707" i="1"/>
  <c r="B8706" i="1"/>
  <c r="B8705" i="1"/>
  <c r="B8704" i="1"/>
  <c r="B8703" i="1"/>
  <c r="B8702" i="1"/>
  <c r="B8701" i="1"/>
  <c r="B8700" i="1"/>
  <c r="B8699" i="1"/>
  <c r="B8698" i="1"/>
  <c r="B8697" i="1"/>
  <c r="B8696" i="1"/>
  <c r="B8695" i="1"/>
  <c r="B8694" i="1"/>
  <c r="B8693" i="1"/>
  <c r="B8692" i="1"/>
  <c r="B8691" i="1"/>
  <c r="B8690" i="1"/>
  <c r="B8689" i="1"/>
  <c r="B8688" i="1"/>
  <c r="B8687" i="1"/>
  <c r="B8686" i="1"/>
  <c r="B8685" i="1"/>
  <c r="B8684" i="1"/>
  <c r="B8683" i="1"/>
  <c r="B8682" i="1"/>
  <c r="B8681" i="1"/>
  <c r="B8680" i="1"/>
  <c r="B8679" i="1"/>
  <c r="B8678" i="1"/>
  <c r="B8677" i="1"/>
  <c r="B8676" i="1"/>
  <c r="B8675" i="1"/>
  <c r="B8674" i="1"/>
  <c r="B8673" i="1"/>
  <c r="B8672" i="1"/>
  <c r="B8671" i="1"/>
  <c r="B8670" i="1"/>
  <c r="B8669" i="1"/>
  <c r="B8668" i="1"/>
  <c r="B8667" i="1"/>
  <c r="B8666" i="1"/>
  <c r="B8665" i="1"/>
  <c r="B8664" i="1"/>
  <c r="B8663" i="1"/>
  <c r="B8662" i="1"/>
  <c r="B8661" i="1"/>
  <c r="B8660" i="1"/>
  <c r="B8659" i="1"/>
  <c r="B8658" i="1"/>
  <c r="B8657" i="1"/>
  <c r="B8656" i="1"/>
  <c r="B8655" i="1"/>
  <c r="B8654" i="1"/>
  <c r="B8653" i="1"/>
  <c r="B8652" i="1"/>
  <c r="B8651" i="1"/>
  <c r="B8650" i="1"/>
  <c r="B8649" i="1"/>
  <c r="B8648" i="1"/>
  <c r="B8647" i="1"/>
  <c r="B8646" i="1"/>
  <c r="B8645" i="1"/>
  <c r="B8644" i="1"/>
  <c r="B8643" i="1"/>
  <c r="B8642" i="1"/>
  <c r="B8641" i="1"/>
  <c r="B8640" i="1"/>
  <c r="B8639" i="1"/>
  <c r="B8638" i="1"/>
  <c r="B8637" i="1"/>
  <c r="B8636" i="1"/>
  <c r="B8635" i="1"/>
  <c r="B8634" i="1"/>
  <c r="B8633" i="1"/>
  <c r="B8632" i="1"/>
  <c r="B8631" i="1"/>
  <c r="B8630" i="1"/>
  <c r="B8629" i="1"/>
  <c r="B8628" i="1"/>
  <c r="B8627" i="1"/>
  <c r="B8626" i="1"/>
  <c r="B8625" i="1"/>
  <c r="B8624" i="1"/>
  <c r="B8623" i="1"/>
  <c r="B8622" i="1"/>
  <c r="B8621" i="1"/>
  <c r="B8620" i="1"/>
  <c r="B8619" i="1"/>
  <c r="B8618" i="1"/>
  <c r="B8617" i="1"/>
  <c r="B8616" i="1"/>
  <c r="B8615" i="1"/>
  <c r="B8614" i="1"/>
  <c r="B8613" i="1"/>
  <c r="B8612" i="1"/>
  <c r="B8611" i="1"/>
  <c r="B8610" i="1"/>
  <c r="B8609" i="1"/>
  <c r="B8608" i="1"/>
  <c r="B8607" i="1"/>
  <c r="B8606" i="1"/>
  <c r="B8605" i="1"/>
  <c r="B8604" i="1"/>
  <c r="B8603" i="1"/>
  <c r="B8602" i="1"/>
  <c r="B8601" i="1"/>
  <c r="B8600" i="1"/>
  <c r="B8599" i="1"/>
  <c r="B8598" i="1"/>
  <c r="B8597" i="1"/>
  <c r="B8596" i="1"/>
  <c r="B8595" i="1"/>
  <c r="B8594" i="1"/>
  <c r="B8593" i="1"/>
  <c r="B8592" i="1"/>
  <c r="B8591" i="1"/>
  <c r="B8590" i="1"/>
  <c r="B8589" i="1"/>
  <c r="B8588" i="1"/>
  <c r="B8587" i="1"/>
  <c r="B8586" i="1"/>
  <c r="B8585" i="1"/>
  <c r="B8584" i="1"/>
  <c r="B8583" i="1"/>
  <c r="B8582" i="1"/>
  <c r="B8581" i="1"/>
  <c r="B8580" i="1"/>
  <c r="B8579" i="1"/>
  <c r="B8578" i="1"/>
  <c r="B8577" i="1"/>
  <c r="B8576" i="1"/>
  <c r="B8575" i="1"/>
  <c r="B8574" i="1"/>
  <c r="B8573" i="1"/>
  <c r="B8572" i="1"/>
  <c r="B8571" i="1"/>
  <c r="B8570" i="1"/>
  <c r="B8569" i="1"/>
  <c r="B8568" i="1"/>
  <c r="B8567" i="1"/>
  <c r="B8566" i="1"/>
  <c r="B8565" i="1"/>
  <c r="B8564" i="1"/>
  <c r="B8563" i="1"/>
  <c r="B8562" i="1"/>
  <c r="B8561" i="1"/>
  <c r="B8560" i="1"/>
  <c r="B8559" i="1"/>
  <c r="B8558" i="1"/>
  <c r="B8557" i="1"/>
  <c r="B8556" i="1"/>
  <c r="B8555" i="1"/>
  <c r="B8554" i="1"/>
  <c r="B8553" i="1"/>
  <c r="B8552" i="1"/>
  <c r="B8551" i="1"/>
  <c r="B8550" i="1"/>
  <c r="B8549" i="1"/>
  <c r="B8548" i="1"/>
  <c r="B8547" i="1"/>
  <c r="B8546" i="1"/>
  <c r="B8545" i="1"/>
  <c r="B8544" i="1"/>
  <c r="B8543" i="1"/>
  <c r="B8542" i="1"/>
  <c r="B8541" i="1"/>
  <c r="B8540" i="1"/>
  <c r="B8539" i="1"/>
  <c r="B8538" i="1"/>
  <c r="B8537" i="1"/>
  <c r="B8536" i="1"/>
  <c r="B8535" i="1"/>
  <c r="B8534" i="1"/>
  <c r="B8533" i="1"/>
  <c r="B8532" i="1"/>
  <c r="B8531" i="1"/>
  <c r="B8530" i="1"/>
  <c r="B8529" i="1"/>
  <c r="B8528" i="1"/>
  <c r="B8527" i="1"/>
  <c r="B8526" i="1"/>
  <c r="B8525" i="1"/>
  <c r="B8524" i="1"/>
  <c r="B8523" i="1"/>
  <c r="B8522" i="1"/>
  <c r="B8521" i="1"/>
  <c r="B8520" i="1"/>
  <c r="B8519" i="1"/>
  <c r="B8518" i="1"/>
  <c r="B8517" i="1"/>
  <c r="B8516" i="1"/>
  <c r="B8515" i="1"/>
  <c r="B8514" i="1"/>
  <c r="B8513" i="1"/>
  <c r="B8512" i="1"/>
  <c r="B8511" i="1"/>
  <c r="B8510" i="1"/>
  <c r="B8509" i="1"/>
  <c r="B8508" i="1"/>
  <c r="B8507" i="1"/>
  <c r="B8506" i="1"/>
  <c r="B8505" i="1"/>
  <c r="B8504" i="1"/>
  <c r="B8503" i="1"/>
  <c r="B8502" i="1"/>
  <c r="B8501" i="1"/>
  <c r="B8500" i="1"/>
  <c r="B8499" i="1"/>
  <c r="B8498" i="1"/>
  <c r="B8497" i="1"/>
  <c r="B8496" i="1"/>
  <c r="B8495" i="1"/>
  <c r="B8494" i="1"/>
  <c r="B8493" i="1"/>
  <c r="B8492" i="1"/>
  <c r="B8491" i="1"/>
  <c r="B8490" i="1"/>
  <c r="B8489" i="1"/>
  <c r="B8488" i="1"/>
  <c r="B8487" i="1"/>
  <c r="B8486" i="1"/>
  <c r="B8485" i="1"/>
  <c r="B8484" i="1"/>
  <c r="B8483" i="1"/>
  <c r="B8482" i="1"/>
  <c r="B8481" i="1"/>
  <c r="B8480" i="1"/>
  <c r="B8479" i="1"/>
  <c r="B8478" i="1"/>
  <c r="B8477" i="1"/>
  <c r="B8476" i="1"/>
  <c r="B8475" i="1"/>
  <c r="B8474" i="1"/>
  <c r="B8473" i="1"/>
  <c r="B8472" i="1"/>
  <c r="B8471" i="1"/>
  <c r="B8470" i="1"/>
  <c r="B8469" i="1"/>
  <c r="B8468" i="1"/>
  <c r="B8467" i="1"/>
  <c r="B8466" i="1"/>
  <c r="B8465" i="1"/>
  <c r="B8464" i="1"/>
  <c r="B8463" i="1"/>
  <c r="B8462" i="1"/>
  <c r="B8461" i="1"/>
  <c r="B8460" i="1"/>
  <c r="B8459" i="1"/>
  <c r="B8458" i="1"/>
  <c r="B8457" i="1"/>
  <c r="B8456" i="1"/>
  <c r="B8455" i="1"/>
  <c r="B8454" i="1"/>
  <c r="B8453" i="1"/>
  <c r="B8452" i="1"/>
  <c r="B8451" i="1"/>
  <c r="B8450" i="1"/>
  <c r="B8449" i="1"/>
  <c r="B8448" i="1"/>
  <c r="B8447" i="1"/>
  <c r="B8446" i="1"/>
  <c r="B8445" i="1"/>
  <c r="B8444" i="1"/>
  <c r="B8443" i="1"/>
  <c r="B8442" i="1"/>
  <c r="B8441" i="1"/>
  <c r="B8440" i="1"/>
  <c r="B8439" i="1"/>
  <c r="B8438" i="1"/>
  <c r="B8437" i="1"/>
  <c r="B8436" i="1"/>
  <c r="B8435" i="1"/>
  <c r="B8434" i="1"/>
  <c r="B8433" i="1"/>
  <c r="B8432" i="1"/>
  <c r="B8431" i="1"/>
  <c r="B8430" i="1"/>
  <c r="B8429" i="1"/>
  <c r="B8428" i="1"/>
  <c r="B8427" i="1"/>
  <c r="B8426" i="1"/>
  <c r="B8425" i="1"/>
  <c r="B8424" i="1"/>
  <c r="B8423" i="1"/>
  <c r="B8422" i="1"/>
  <c r="B8421" i="1"/>
  <c r="B8420" i="1"/>
  <c r="B8419" i="1"/>
  <c r="B8418" i="1"/>
  <c r="B8417" i="1"/>
  <c r="B8416" i="1"/>
  <c r="B8415" i="1"/>
  <c r="B8414" i="1"/>
  <c r="B8413" i="1"/>
  <c r="B8412" i="1"/>
  <c r="B8411" i="1"/>
  <c r="B8410" i="1"/>
  <c r="B8409" i="1"/>
  <c r="B8408" i="1"/>
  <c r="B8407" i="1"/>
  <c r="B8406" i="1"/>
  <c r="B8405" i="1"/>
  <c r="B8404" i="1"/>
  <c r="B8403" i="1"/>
  <c r="B8402" i="1"/>
  <c r="B8401" i="1"/>
  <c r="B8400" i="1"/>
  <c r="B8399" i="1"/>
  <c r="B8398" i="1"/>
  <c r="B8397" i="1"/>
  <c r="B8396" i="1"/>
  <c r="B8395" i="1"/>
  <c r="B8394" i="1"/>
  <c r="B8393" i="1"/>
  <c r="B8392" i="1"/>
  <c r="B8391" i="1"/>
  <c r="B8390" i="1"/>
  <c r="B8389" i="1"/>
  <c r="B8388" i="1"/>
  <c r="B8387" i="1"/>
  <c r="B8386" i="1"/>
  <c r="B8385" i="1"/>
  <c r="B8384" i="1"/>
  <c r="B8383" i="1"/>
  <c r="B8382" i="1"/>
  <c r="B8381" i="1"/>
  <c r="B8380" i="1"/>
  <c r="B8379" i="1"/>
  <c r="B8378" i="1"/>
  <c r="B8377" i="1"/>
  <c r="B8376" i="1"/>
  <c r="B8375" i="1"/>
  <c r="B8374" i="1"/>
  <c r="B8373" i="1"/>
  <c r="B8372" i="1"/>
  <c r="B8371" i="1"/>
  <c r="B8370" i="1"/>
  <c r="B8369" i="1"/>
  <c r="B8368" i="1"/>
  <c r="B8367" i="1"/>
  <c r="B8366" i="1"/>
  <c r="B8365" i="1"/>
  <c r="B8364" i="1"/>
  <c r="B8363" i="1"/>
  <c r="B8362" i="1"/>
  <c r="B8361" i="1"/>
  <c r="B8360" i="1"/>
  <c r="B8359" i="1"/>
  <c r="B8358" i="1"/>
  <c r="B8357" i="1"/>
  <c r="B8356" i="1"/>
  <c r="B8355" i="1"/>
  <c r="B8354" i="1"/>
  <c r="B8353" i="1"/>
  <c r="B8352" i="1"/>
  <c r="B8351" i="1"/>
  <c r="B8350" i="1"/>
  <c r="B8349" i="1"/>
  <c r="B8348" i="1"/>
  <c r="B8347" i="1"/>
  <c r="B8346" i="1"/>
  <c r="B8345" i="1"/>
  <c r="B8344" i="1"/>
  <c r="B8343" i="1"/>
  <c r="B8342" i="1"/>
  <c r="B8341" i="1"/>
  <c r="B8340" i="1"/>
  <c r="B8339" i="1"/>
  <c r="B8338" i="1"/>
  <c r="B8337" i="1"/>
  <c r="B8336" i="1"/>
  <c r="B8335" i="1"/>
  <c r="B8334" i="1"/>
  <c r="B8333" i="1"/>
  <c r="B8332" i="1"/>
  <c r="B8331" i="1"/>
  <c r="B8330" i="1"/>
  <c r="B8329" i="1"/>
  <c r="B8328" i="1"/>
  <c r="B8327" i="1"/>
  <c r="B8326" i="1"/>
  <c r="B8325" i="1"/>
  <c r="B8324" i="1"/>
  <c r="B8323" i="1"/>
  <c r="B8322" i="1"/>
  <c r="B8321" i="1"/>
  <c r="B8320" i="1"/>
  <c r="B8319" i="1"/>
  <c r="B8318" i="1"/>
  <c r="B8317" i="1"/>
  <c r="B8316" i="1"/>
  <c r="B8315" i="1"/>
  <c r="B8314" i="1"/>
  <c r="B8313" i="1"/>
  <c r="B8312" i="1"/>
  <c r="B8311" i="1"/>
  <c r="B8310" i="1"/>
  <c r="B8309" i="1"/>
  <c r="B8308" i="1"/>
  <c r="B8307" i="1"/>
  <c r="B8306" i="1"/>
  <c r="B8305" i="1"/>
  <c r="B8304" i="1"/>
  <c r="B8303" i="1"/>
  <c r="B8302" i="1"/>
  <c r="B8301" i="1"/>
  <c r="B8300" i="1"/>
  <c r="B8299" i="1"/>
  <c r="B8298" i="1"/>
  <c r="B8297" i="1"/>
  <c r="B8296" i="1"/>
  <c r="B8295" i="1"/>
  <c r="B8294" i="1"/>
  <c r="B8293" i="1"/>
  <c r="B8292" i="1"/>
  <c r="B8291" i="1"/>
  <c r="B8290" i="1"/>
  <c r="B8289" i="1"/>
  <c r="B8288" i="1"/>
  <c r="B8287" i="1"/>
  <c r="B8286" i="1"/>
  <c r="B8285" i="1"/>
  <c r="B8284" i="1"/>
  <c r="B8283" i="1"/>
  <c r="B8282" i="1"/>
  <c r="B8281" i="1"/>
  <c r="B8280" i="1"/>
  <c r="B8279" i="1"/>
  <c r="B8278" i="1"/>
  <c r="B8277" i="1"/>
  <c r="B8276" i="1"/>
  <c r="B8275" i="1"/>
  <c r="B8274" i="1"/>
  <c r="B8273" i="1"/>
  <c r="B8272" i="1"/>
  <c r="B8271" i="1"/>
  <c r="B8270" i="1"/>
  <c r="B8269" i="1"/>
  <c r="B8268" i="1"/>
  <c r="B8267" i="1"/>
  <c r="B8266" i="1"/>
  <c r="B8265" i="1"/>
  <c r="B8264" i="1"/>
  <c r="B8263" i="1"/>
  <c r="B8262" i="1"/>
  <c r="B8261" i="1"/>
  <c r="B8260" i="1"/>
  <c r="B8259" i="1"/>
  <c r="B8258" i="1"/>
  <c r="B8257" i="1"/>
  <c r="B8256" i="1"/>
  <c r="B8255" i="1"/>
  <c r="B8254" i="1"/>
  <c r="B8253" i="1"/>
  <c r="B8252" i="1"/>
  <c r="B8251" i="1"/>
  <c r="B8250" i="1"/>
  <c r="B8249" i="1"/>
  <c r="B8248" i="1"/>
  <c r="B8247" i="1"/>
  <c r="B8246" i="1"/>
  <c r="B8245" i="1"/>
  <c r="B8244" i="1"/>
  <c r="B8243" i="1"/>
  <c r="B8242" i="1"/>
  <c r="B8241" i="1"/>
  <c r="B8240" i="1"/>
  <c r="B8239" i="1"/>
  <c r="B8238" i="1"/>
  <c r="B8237" i="1"/>
  <c r="B8236" i="1"/>
  <c r="B8235" i="1"/>
  <c r="B8234" i="1"/>
  <c r="B8233" i="1"/>
  <c r="B8232" i="1"/>
  <c r="B8231" i="1"/>
  <c r="B8230" i="1"/>
  <c r="B8229" i="1"/>
  <c r="B8228" i="1"/>
  <c r="B8227" i="1"/>
  <c r="B8226" i="1"/>
  <c r="B8225" i="1"/>
  <c r="B8224" i="1"/>
  <c r="B8223" i="1"/>
  <c r="B8222" i="1"/>
  <c r="B8221" i="1"/>
  <c r="B8220" i="1"/>
  <c r="B8219" i="1"/>
  <c r="B8218" i="1"/>
  <c r="B8217" i="1"/>
  <c r="B8216" i="1"/>
  <c r="B8215" i="1"/>
  <c r="B8214" i="1"/>
  <c r="B8213" i="1"/>
  <c r="B8212" i="1"/>
  <c r="B8211" i="1"/>
  <c r="B8210" i="1"/>
  <c r="B8209" i="1"/>
  <c r="B8208" i="1"/>
  <c r="B8207" i="1"/>
  <c r="B8206" i="1"/>
  <c r="B8205" i="1"/>
  <c r="B8204" i="1"/>
  <c r="B8203" i="1"/>
  <c r="B8202" i="1"/>
  <c r="B8201" i="1"/>
  <c r="B8200" i="1"/>
  <c r="B8199" i="1"/>
  <c r="B8198" i="1"/>
  <c r="B8197" i="1"/>
  <c r="B8196" i="1"/>
  <c r="B8195" i="1"/>
  <c r="B8194" i="1"/>
  <c r="B8193" i="1"/>
  <c r="B8192" i="1"/>
  <c r="B8191" i="1"/>
  <c r="B8190" i="1"/>
  <c r="B8189" i="1"/>
  <c r="B8188" i="1"/>
  <c r="B8187" i="1"/>
  <c r="B8186" i="1"/>
  <c r="B8185" i="1"/>
  <c r="B8184" i="1"/>
  <c r="B8183" i="1"/>
  <c r="B8182" i="1"/>
  <c r="B8181" i="1"/>
  <c r="B8180" i="1"/>
  <c r="B8179" i="1"/>
  <c r="B8178" i="1"/>
  <c r="B8177" i="1"/>
  <c r="B8176" i="1"/>
  <c r="B8175" i="1"/>
  <c r="B8174" i="1"/>
  <c r="B8173" i="1"/>
  <c r="B8172" i="1"/>
  <c r="B8171" i="1"/>
  <c r="B8170" i="1"/>
  <c r="B8169" i="1"/>
  <c r="B8168" i="1"/>
  <c r="B8167" i="1"/>
  <c r="B8166" i="1"/>
  <c r="B8165" i="1"/>
  <c r="B8164" i="1"/>
  <c r="B8163" i="1"/>
  <c r="B8162" i="1"/>
  <c r="B8161" i="1"/>
  <c r="B8160" i="1"/>
  <c r="B8159" i="1"/>
  <c r="B8158" i="1"/>
  <c r="B8157" i="1"/>
  <c r="B8156" i="1"/>
  <c r="B8155" i="1"/>
  <c r="B8154" i="1"/>
  <c r="B8153" i="1"/>
  <c r="B8152" i="1"/>
  <c r="B8151" i="1"/>
  <c r="B8150" i="1"/>
  <c r="B8149" i="1"/>
  <c r="B8148" i="1"/>
  <c r="B8147" i="1"/>
  <c r="B8146" i="1"/>
  <c r="B8145" i="1"/>
  <c r="B8144" i="1"/>
  <c r="B8143" i="1"/>
  <c r="B8142" i="1"/>
  <c r="B8141" i="1"/>
  <c r="B8140" i="1"/>
  <c r="B8139" i="1"/>
  <c r="B8138" i="1"/>
  <c r="B8137" i="1"/>
  <c r="B8136" i="1"/>
  <c r="B8135" i="1"/>
  <c r="B8134" i="1"/>
  <c r="B8133" i="1"/>
  <c r="B8132" i="1"/>
  <c r="B8131" i="1"/>
  <c r="B8130" i="1"/>
  <c r="B8129" i="1"/>
  <c r="B8128" i="1"/>
  <c r="B8127" i="1"/>
  <c r="B8126" i="1"/>
  <c r="B8125" i="1"/>
  <c r="B8124" i="1"/>
  <c r="B8123" i="1"/>
  <c r="B8122" i="1"/>
  <c r="B8121" i="1"/>
  <c r="B8120" i="1"/>
  <c r="B8119" i="1"/>
  <c r="B8118" i="1"/>
  <c r="B8117" i="1"/>
  <c r="B8116" i="1"/>
  <c r="B8115" i="1"/>
  <c r="B8114" i="1"/>
  <c r="B8113" i="1"/>
  <c r="B8112" i="1"/>
  <c r="B8111" i="1"/>
  <c r="B8110" i="1"/>
  <c r="B8109" i="1"/>
  <c r="B8108" i="1"/>
  <c r="B8107" i="1"/>
  <c r="B8106" i="1"/>
  <c r="B8105" i="1"/>
  <c r="B8104" i="1"/>
  <c r="B8103" i="1"/>
  <c r="B8102" i="1"/>
  <c r="B8101" i="1"/>
  <c r="B8100" i="1"/>
  <c r="B8099" i="1"/>
  <c r="B8098" i="1"/>
  <c r="B8097" i="1"/>
  <c r="B8096" i="1"/>
  <c r="B8095" i="1"/>
  <c r="B8094" i="1"/>
  <c r="B8093" i="1"/>
  <c r="B8092" i="1"/>
  <c r="B8091" i="1"/>
  <c r="B8090" i="1"/>
  <c r="B8089" i="1"/>
  <c r="B8088" i="1"/>
  <c r="B8087" i="1"/>
  <c r="B8086" i="1"/>
  <c r="B8085" i="1"/>
  <c r="B8084" i="1"/>
  <c r="B8083" i="1"/>
  <c r="B8082" i="1"/>
  <c r="B8081" i="1"/>
  <c r="B8080" i="1"/>
  <c r="B8079" i="1"/>
  <c r="B8078" i="1"/>
  <c r="B8077" i="1"/>
  <c r="B8076" i="1"/>
  <c r="B8075" i="1"/>
  <c r="B8074" i="1"/>
  <c r="B8073" i="1"/>
  <c r="B8072" i="1"/>
  <c r="B8071" i="1"/>
  <c r="B8070" i="1"/>
  <c r="B8069" i="1"/>
  <c r="B8068" i="1"/>
  <c r="B8067" i="1"/>
  <c r="B8066" i="1"/>
  <c r="B8065" i="1"/>
  <c r="B8064" i="1"/>
  <c r="B8063" i="1"/>
  <c r="B8062" i="1"/>
  <c r="B8061" i="1"/>
  <c r="B8060" i="1"/>
  <c r="B8059" i="1"/>
  <c r="B8058" i="1"/>
  <c r="B8057" i="1"/>
  <c r="B8056" i="1"/>
  <c r="B8055" i="1"/>
  <c r="B8054" i="1"/>
  <c r="B8053" i="1"/>
  <c r="B8052" i="1"/>
  <c r="B8051" i="1"/>
  <c r="B8050" i="1"/>
  <c r="B8049" i="1"/>
  <c r="B8048" i="1"/>
  <c r="B8047" i="1"/>
  <c r="B8046" i="1"/>
  <c r="B8045" i="1"/>
  <c r="B8044" i="1"/>
  <c r="B8043" i="1"/>
  <c r="B8042" i="1"/>
  <c r="B8041" i="1"/>
  <c r="B8040" i="1"/>
  <c r="B8039" i="1"/>
  <c r="B8038" i="1"/>
  <c r="B8037" i="1"/>
  <c r="B8036" i="1"/>
  <c r="B8035" i="1"/>
  <c r="B8034" i="1"/>
  <c r="B8033" i="1"/>
  <c r="B8032" i="1"/>
  <c r="B8031" i="1"/>
  <c r="B8030" i="1"/>
  <c r="B8029" i="1"/>
  <c r="B8028" i="1"/>
  <c r="B8027" i="1"/>
  <c r="B8026" i="1"/>
  <c r="B8025" i="1"/>
  <c r="B8024" i="1"/>
  <c r="B8023" i="1"/>
  <c r="B8022" i="1"/>
  <c r="B8021" i="1"/>
  <c r="B8020" i="1"/>
  <c r="B8019" i="1"/>
  <c r="B8018" i="1"/>
  <c r="B8017" i="1"/>
  <c r="B8016" i="1"/>
  <c r="B8015" i="1"/>
  <c r="B8014" i="1"/>
  <c r="B8013" i="1"/>
  <c r="B8012" i="1"/>
  <c r="B8011" i="1"/>
  <c r="B8010" i="1"/>
  <c r="B8009" i="1"/>
  <c r="B8008" i="1"/>
  <c r="B8007" i="1"/>
  <c r="B8006" i="1"/>
  <c r="B8005" i="1"/>
  <c r="B8004" i="1"/>
  <c r="B8003" i="1"/>
  <c r="B8002" i="1"/>
  <c r="B8001" i="1"/>
  <c r="B8000" i="1"/>
  <c r="B7999" i="1"/>
  <c r="B7998" i="1"/>
  <c r="B7997" i="1"/>
  <c r="B7996" i="1"/>
  <c r="B7995" i="1"/>
  <c r="B7994" i="1"/>
  <c r="B7993" i="1"/>
  <c r="B7992" i="1"/>
  <c r="B7991" i="1"/>
  <c r="B7990" i="1"/>
  <c r="B7989" i="1"/>
  <c r="B7988" i="1"/>
  <c r="B7987" i="1"/>
  <c r="B7986" i="1"/>
  <c r="B7985" i="1"/>
  <c r="B7984" i="1"/>
  <c r="B7983" i="1"/>
  <c r="B7982" i="1"/>
  <c r="B7981" i="1"/>
  <c r="B7980" i="1"/>
  <c r="B7979" i="1"/>
  <c r="B7978" i="1"/>
  <c r="B7977" i="1"/>
  <c r="B7976" i="1"/>
  <c r="B7975" i="1"/>
  <c r="B7974" i="1"/>
  <c r="B7973" i="1"/>
  <c r="B7972" i="1"/>
  <c r="B7971" i="1"/>
  <c r="B7970" i="1"/>
  <c r="B7969" i="1"/>
  <c r="B7968" i="1"/>
  <c r="B7967" i="1"/>
  <c r="B7966" i="1"/>
  <c r="B7965" i="1"/>
  <c r="B7964" i="1"/>
  <c r="B7963" i="1"/>
  <c r="B7962" i="1"/>
  <c r="B7961" i="1"/>
  <c r="B7960" i="1"/>
  <c r="B7959" i="1"/>
  <c r="B7958" i="1"/>
  <c r="B7957" i="1"/>
  <c r="B7956" i="1"/>
  <c r="B7955" i="1"/>
  <c r="B7954" i="1"/>
  <c r="B7953" i="1"/>
  <c r="B7952" i="1"/>
  <c r="B7951" i="1"/>
  <c r="B7950" i="1"/>
  <c r="B7949" i="1"/>
  <c r="B7948" i="1"/>
  <c r="B7947" i="1"/>
  <c r="B7946" i="1"/>
  <c r="B7945" i="1"/>
  <c r="B7944" i="1"/>
  <c r="B7943" i="1"/>
  <c r="B7942" i="1"/>
  <c r="B7941" i="1"/>
  <c r="B7940" i="1"/>
  <c r="B7939" i="1"/>
  <c r="B7938" i="1"/>
  <c r="B7937" i="1"/>
  <c r="B7936" i="1"/>
  <c r="B7935" i="1"/>
  <c r="B7934" i="1"/>
  <c r="B7933" i="1"/>
  <c r="B7932" i="1"/>
  <c r="B7931" i="1"/>
  <c r="B7930" i="1"/>
  <c r="B7929" i="1"/>
  <c r="B7928" i="1"/>
  <c r="B7927" i="1"/>
  <c r="B7926" i="1"/>
  <c r="B7925" i="1"/>
  <c r="B7924" i="1"/>
  <c r="B7923" i="1"/>
  <c r="B7922" i="1"/>
  <c r="B7921" i="1"/>
  <c r="B7920" i="1"/>
  <c r="B7919" i="1"/>
  <c r="B7918" i="1"/>
  <c r="B7917" i="1"/>
  <c r="B7916" i="1"/>
  <c r="B7915" i="1"/>
  <c r="B7914" i="1"/>
  <c r="B7913" i="1"/>
  <c r="B7912" i="1"/>
  <c r="B7911" i="1"/>
  <c r="B7910" i="1"/>
  <c r="B7909" i="1"/>
  <c r="B7908" i="1"/>
  <c r="B7907" i="1"/>
  <c r="B7906" i="1"/>
  <c r="B7905" i="1"/>
  <c r="B7904" i="1"/>
  <c r="B7903" i="1"/>
  <c r="B7902" i="1"/>
  <c r="B7901" i="1"/>
  <c r="B7900" i="1"/>
  <c r="B7899" i="1"/>
  <c r="B7898" i="1"/>
  <c r="B7897" i="1"/>
  <c r="B7896" i="1"/>
  <c r="B7895" i="1"/>
  <c r="B7894" i="1"/>
  <c r="B7893" i="1"/>
  <c r="B7892" i="1"/>
  <c r="B7891" i="1"/>
  <c r="B7890" i="1"/>
  <c r="B7889" i="1"/>
  <c r="B7888" i="1"/>
  <c r="B7887" i="1"/>
  <c r="B7886" i="1"/>
  <c r="B7885" i="1"/>
  <c r="B7884" i="1"/>
  <c r="B7883" i="1"/>
  <c r="B7882" i="1"/>
  <c r="B7881" i="1"/>
  <c r="B7880" i="1"/>
  <c r="B7879" i="1"/>
  <c r="B7878" i="1"/>
  <c r="B7877" i="1"/>
  <c r="B7876" i="1"/>
  <c r="B7875" i="1"/>
  <c r="B7874" i="1"/>
  <c r="B7873" i="1"/>
  <c r="B7872" i="1"/>
  <c r="B7871" i="1"/>
  <c r="B7870" i="1"/>
  <c r="B7869" i="1"/>
  <c r="B7868" i="1"/>
  <c r="B7867" i="1"/>
  <c r="B7866" i="1"/>
  <c r="B7865" i="1"/>
  <c r="B7864" i="1"/>
  <c r="B7863" i="1"/>
  <c r="B7862" i="1"/>
  <c r="B7861" i="1"/>
  <c r="B7860" i="1"/>
  <c r="B7859" i="1"/>
  <c r="B7858" i="1"/>
  <c r="B7857" i="1"/>
  <c r="B7856" i="1"/>
  <c r="B7855" i="1"/>
  <c r="B7854" i="1"/>
  <c r="B7853" i="1"/>
  <c r="B7852" i="1"/>
  <c r="B7851" i="1"/>
  <c r="B7850" i="1"/>
  <c r="B7849" i="1"/>
  <c r="B7848" i="1"/>
  <c r="B7847" i="1"/>
  <c r="B7846" i="1"/>
  <c r="B7845" i="1"/>
  <c r="B7844" i="1"/>
  <c r="B7843" i="1"/>
  <c r="B7842" i="1"/>
  <c r="B7841" i="1"/>
  <c r="B7840" i="1"/>
  <c r="B7839" i="1"/>
  <c r="B7838" i="1"/>
  <c r="B7837" i="1"/>
  <c r="B7836" i="1"/>
  <c r="B7835" i="1"/>
  <c r="B7834" i="1"/>
  <c r="B7833" i="1"/>
  <c r="B7832" i="1"/>
  <c r="B7831" i="1"/>
  <c r="B7830" i="1"/>
  <c r="B7829" i="1"/>
  <c r="B7828" i="1"/>
  <c r="B7827" i="1"/>
  <c r="B7826" i="1"/>
  <c r="B7825" i="1"/>
  <c r="B7824" i="1"/>
  <c r="B7823" i="1"/>
  <c r="B7822" i="1"/>
  <c r="B7821" i="1"/>
  <c r="B7820" i="1"/>
  <c r="B7819" i="1"/>
  <c r="B7818" i="1"/>
  <c r="B7817" i="1"/>
  <c r="B7816" i="1"/>
  <c r="B7815" i="1"/>
  <c r="B7814" i="1"/>
  <c r="B7813" i="1"/>
  <c r="B7812" i="1"/>
  <c r="B7811" i="1"/>
  <c r="B7810" i="1"/>
  <c r="B7809" i="1"/>
  <c r="B7808" i="1"/>
  <c r="B7807" i="1"/>
  <c r="B7806" i="1"/>
  <c r="B7805" i="1"/>
  <c r="B7804" i="1"/>
  <c r="B7803" i="1"/>
  <c r="B7802" i="1"/>
  <c r="B7801" i="1"/>
  <c r="B7800" i="1"/>
  <c r="B7799" i="1"/>
  <c r="B7798" i="1"/>
  <c r="B7797" i="1"/>
  <c r="B7796" i="1"/>
  <c r="B7795" i="1"/>
  <c r="B7794" i="1"/>
  <c r="B7793" i="1"/>
  <c r="B7792" i="1"/>
  <c r="B7791" i="1"/>
  <c r="B7790" i="1"/>
  <c r="B7789" i="1"/>
  <c r="B7788" i="1"/>
  <c r="B7787" i="1"/>
  <c r="B7786" i="1"/>
  <c r="B7785" i="1"/>
  <c r="B7784" i="1"/>
  <c r="B7783" i="1"/>
  <c r="B7782" i="1"/>
  <c r="B7781" i="1"/>
  <c r="B7780" i="1"/>
  <c r="B7779" i="1"/>
  <c r="B7778" i="1"/>
  <c r="B7777" i="1"/>
  <c r="B7776" i="1"/>
  <c r="B7775" i="1"/>
  <c r="B7774" i="1"/>
  <c r="B7773" i="1"/>
  <c r="B7772" i="1"/>
  <c r="B7771" i="1"/>
  <c r="B7770" i="1"/>
  <c r="B7769" i="1"/>
  <c r="B7768" i="1"/>
  <c r="B7767" i="1"/>
  <c r="B7766" i="1"/>
  <c r="B7765" i="1"/>
  <c r="B7764" i="1"/>
  <c r="B7763" i="1"/>
  <c r="B7762" i="1"/>
  <c r="B7761" i="1"/>
  <c r="B7760" i="1"/>
  <c r="B7759" i="1"/>
  <c r="B7758" i="1"/>
  <c r="B7757" i="1"/>
  <c r="B7756" i="1"/>
  <c r="B7755" i="1"/>
  <c r="B7754" i="1"/>
  <c r="B7753" i="1"/>
  <c r="B7752" i="1"/>
  <c r="B7751" i="1"/>
  <c r="B7750" i="1"/>
  <c r="B7749" i="1"/>
  <c r="B7748" i="1"/>
  <c r="B7747" i="1"/>
  <c r="B7746" i="1"/>
  <c r="B7745" i="1"/>
  <c r="B7744" i="1"/>
  <c r="B7743" i="1"/>
  <c r="B7742" i="1"/>
  <c r="B7741" i="1"/>
  <c r="B7740" i="1"/>
  <c r="B7739" i="1"/>
  <c r="B7738" i="1"/>
  <c r="B7737" i="1"/>
  <c r="B7736" i="1"/>
  <c r="B7735" i="1"/>
  <c r="B7734" i="1"/>
  <c r="B7733" i="1"/>
  <c r="B7732" i="1"/>
  <c r="B7731" i="1"/>
  <c r="B7730" i="1"/>
  <c r="B7729" i="1"/>
  <c r="B7728" i="1"/>
  <c r="B7727" i="1"/>
  <c r="B7726" i="1"/>
  <c r="B7725" i="1"/>
  <c r="B7724" i="1"/>
  <c r="B7723" i="1"/>
  <c r="B7722" i="1"/>
  <c r="B7721" i="1"/>
  <c r="B7720" i="1"/>
  <c r="B7719" i="1"/>
  <c r="B7718" i="1"/>
  <c r="B7717" i="1"/>
  <c r="B7716" i="1"/>
  <c r="B7715" i="1"/>
  <c r="B7714" i="1"/>
  <c r="B7713" i="1"/>
  <c r="B7712" i="1"/>
  <c r="B7711" i="1"/>
  <c r="B7710" i="1"/>
  <c r="B7709" i="1"/>
  <c r="B7708" i="1"/>
  <c r="B7707" i="1"/>
  <c r="B7706" i="1"/>
  <c r="B7705" i="1"/>
  <c r="B7704" i="1"/>
  <c r="B7703" i="1"/>
  <c r="B7702" i="1"/>
  <c r="B7701" i="1"/>
  <c r="B7700" i="1"/>
  <c r="B7699" i="1"/>
  <c r="B7698" i="1"/>
  <c r="B7697" i="1"/>
  <c r="B7696" i="1"/>
  <c r="B7695" i="1"/>
  <c r="B7694" i="1"/>
  <c r="B7693" i="1"/>
  <c r="B7692" i="1"/>
  <c r="B7691" i="1"/>
  <c r="B7690" i="1"/>
  <c r="B7689" i="1"/>
  <c r="B7688" i="1"/>
  <c r="B7687" i="1"/>
  <c r="B7686" i="1"/>
  <c r="B7685" i="1"/>
  <c r="B7684" i="1"/>
  <c r="B7683" i="1"/>
  <c r="B7682" i="1"/>
  <c r="B7681" i="1"/>
  <c r="B7680" i="1"/>
  <c r="B7679" i="1"/>
  <c r="B7678" i="1"/>
  <c r="B7677" i="1"/>
  <c r="B7676" i="1"/>
  <c r="B7675" i="1"/>
  <c r="B7674" i="1"/>
  <c r="B7673" i="1"/>
  <c r="B7672" i="1"/>
  <c r="B7671" i="1"/>
  <c r="B7670" i="1"/>
  <c r="B7669" i="1"/>
  <c r="B7668" i="1"/>
  <c r="B7667" i="1"/>
  <c r="B7666" i="1"/>
  <c r="B7665" i="1"/>
  <c r="B7664" i="1"/>
  <c r="B7663" i="1"/>
  <c r="B7662" i="1"/>
  <c r="B7661" i="1"/>
  <c r="B7660" i="1"/>
  <c r="B7659" i="1"/>
  <c r="B7658" i="1"/>
  <c r="B7657" i="1"/>
  <c r="B7656" i="1"/>
  <c r="B7655" i="1"/>
  <c r="B7654" i="1"/>
  <c r="B7653" i="1"/>
  <c r="B7652" i="1"/>
  <c r="B7651" i="1"/>
  <c r="B7650" i="1"/>
  <c r="B7649" i="1"/>
  <c r="B7648" i="1"/>
  <c r="B7647" i="1"/>
  <c r="B7646" i="1"/>
  <c r="B7645" i="1"/>
  <c r="B7644" i="1"/>
  <c r="B7643" i="1"/>
  <c r="B7642" i="1"/>
  <c r="B7641" i="1"/>
  <c r="B7640" i="1"/>
  <c r="B7639" i="1"/>
  <c r="B7638" i="1"/>
  <c r="B7637" i="1"/>
  <c r="B7636" i="1"/>
  <c r="B7635" i="1"/>
  <c r="B7634" i="1"/>
  <c r="B7633" i="1"/>
  <c r="B7632" i="1"/>
  <c r="B7631" i="1"/>
  <c r="B7630" i="1"/>
  <c r="B7629" i="1"/>
  <c r="B7628" i="1"/>
  <c r="B7627" i="1"/>
  <c r="B7626" i="1"/>
  <c r="B7625" i="1"/>
  <c r="B7624" i="1"/>
  <c r="B7623" i="1"/>
  <c r="B7622" i="1"/>
  <c r="B7621" i="1"/>
  <c r="B7620" i="1"/>
  <c r="B7619" i="1"/>
  <c r="B7618" i="1"/>
  <c r="B7617" i="1"/>
  <c r="B7616" i="1"/>
  <c r="B7615" i="1"/>
  <c r="B7614" i="1"/>
  <c r="B7613" i="1"/>
  <c r="B7612" i="1"/>
  <c r="B7611" i="1"/>
  <c r="B7610" i="1"/>
  <c r="B7609" i="1"/>
  <c r="B7608" i="1"/>
  <c r="B7607" i="1"/>
  <c r="B7606" i="1"/>
  <c r="B7605" i="1"/>
  <c r="B7604" i="1"/>
  <c r="B7603" i="1"/>
  <c r="B7602" i="1"/>
  <c r="B7601" i="1"/>
  <c r="B7600" i="1"/>
  <c r="B7599" i="1"/>
  <c r="B7598" i="1"/>
  <c r="B7597" i="1"/>
  <c r="B7596" i="1"/>
  <c r="B7595" i="1"/>
  <c r="B7594" i="1"/>
  <c r="B7593" i="1"/>
  <c r="B7592" i="1"/>
  <c r="B7591" i="1"/>
  <c r="B7590" i="1"/>
  <c r="B7589" i="1"/>
  <c r="B7588" i="1"/>
  <c r="B7587" i="1"/>
  <c r="B7586" i="1"/>
  <c r="B7585" i="1"/>
  <c r="B7584" i="1"/>
  <c r="B7583" i="1"/>
  <c r="B7582" i="1"/>
  <c r="B7581" i="1"/>
  <c r="B7580" i="1"/>
  <c r="B7579" i="1"/>
  <c r="B7578" i="1"/>
  <c r="B7577" i="1"/>
  <c r="B7576" i="1"/>
  <c r="B7575" i="1"/>
  <c r="B7574" i="1"/>
  <c r="B7573" i="1"/>
  <c r="B7572" i="1"/>
  <c r="B7571" i="1"/>
  <c r="B7570" i="1"/>
  <c r="B7569" i="1"/>
  <c r="B7568" i="1"/>
  <c r="B7567" i="1"/>
  <c r="B7566" i="1"/>
  <c r="B7565" i="1"/>
  <c r="B7564" i="1"/>
  <c r="B7563" i="1"/>
  <c r="B7562" i="1"/>
  <c r="B7561" i="1"/>
  <c r="B7560" i="1"/>
  <c r="B7559" i="1"/>
  <c r="B7558" i="1"/>
  <c r="B7557" i="1"/>
  <c r="B7556" i="1"/>
  <c r="B7555" i="1"/>
  <c r="B7554" i="1"/>
  <c r="B7553" i="1"/>
  <c r="B7552" i="1"/>
  <c r="B7551" i="1"/>
  <c r="B7550" i="1"/>
  <c r="B7549" i="1"/>
  <c r="B7548" i="1"/>
  <c r="B7547" i="1"/>
  <c r="B7546" i="1"/>
  <c r="B7545" i="1"/>
  <c r="B7544" i="1"/>
  <c r="B7543" i="1"/>
  <c r="B7542" i="1"/>
  <c r="B7541" i="1"/>
  <c r="B7540" i="1"/>
  <c r="B7539" i="1"/>
  <c r="B7538" i="1"/>
  <c r="B7537" i="1"/>
  <c r="B7536" i="1"/>
  <c r="B7535" i="1"/>
  <c r="B7534" i="1"/>
  <c r="B7533" i="1"/>
  <c r="B7532" i="1"/>
  <c r="B7531" i="1"/>
  <c r="B7530" i="1"/>
  <c r="B7529" i="1"/>
  <c r="B7528" i="1"/>
  <c r="B7527" i="1"/>
  <c r="B7526" i="1"/>
  <c r="B7525" i="1"/>
  <c r="B7524" i="1"/>
  <c r="B7523" i="1"/>
  <c r="B7522" i="1"/>
  <c r="B7521" i="1"/>
  <c r="B7520" i="1"/>
  <c r="B7519" i="1"/>
  <c r="B7518" i="1"/>
  <c r="B7517" i="1"/>
  <c r="B7516" i="1"/>
  <c r="B7515" i="1"/>
  <c r="B7514" i="1"/>
  <c r="B7513" i="1"/>
  <c r="B7512" i="1"/>
  <c r="B7511" i="1"/>
  <c r="B7510" i="1"/>
  <c r="B7509" i="1"/>
  <c r="B7508" i="1"/>
  <c r="B7507" i="1"/>
  <c r="B7506" i="1"/>
  <c r="B7505" i="1"/>
  <c r="B7504" i="1"/>
  <c r="B7503" i="1"/>
  <c r="B7502" i="1"/>
  <c r="B7501" i="1"/>
  <c r="B7500" i="1"/>
  <c r="B7499" i="1"/>
  <c r="B7498" i="1"/>
  <c r="B7497" i="1"/>
  <c r="B7496" i="1"/>
  <c r="B7495" i="1"/>
  <c r="B7494" i="1"/>
  <c r="B7493" i="1"/>
  <c r="B7492" i="1"/>
  <c r="B7491" i="1"/>
  <c r="B7490" i="1"/>
  <c r="B7489" i="1"/>
  <c r="B7488" i="1"/>
  <c r="B7487" i="1"/>
  <c r="B7486" i="1"/>
  <c r="B7485" i="1"/>
  <c r="B7484" i="1"/>
  <c r="B7483" i="1"/>
  <c r="B7482" i="1"/>
  <c r="B7481" i="1"/>
  <c r="B7480" i="1"/>
  <c r="B7479" i="1"/>
  <c r="B7478" i="1"/>
  <c r="B7477" i="1"/>
  <c r="B7476" i="1"/>
  <c r="B7475" i="1"/>
  <c r="B7474" i="1"/>
  <c r="B7473" i="1"/>
  <c r="B7472" i="1"/>
  <c r="B7471" i="1"/>
  <c r="B7470" i="1"/>
  <c r="B7469" i="1"/>
  <c r="B7468" i="1"/>
  <c r="B7467" i="1"/>
  <c r="B7466" i="1"/>
  <c r="B7465" i="1"/>
  <c r="B7464" i="1"/>
  <c r="B7463" i="1"/>
  <c r="B7462" i="1"/>
  <c r="B7461" i="1"/>
  <c r="B7460" i="1"/>
  <c r="B7459" i="1"/>
  <c r="B7458" i="1"/>
  <c r="B7457" i="1"/>
  <c r="B7456" i="1"/>
  <c r="B7455" i="1"/>
  <c r="B7454" i="1"/>
  <c r="B7453" i="1"/>
  <c r="B7452" i="1"/>
  <c r="B7451" i="1"/>
  <c r="B7450" i="1"/>
  <c r="B7449" i="1"/>
  <c r="B7448" i="1"/>
  <c r="B7447" i="1"/>
  <c r="B7446" i="1"/>
  <c r="B7445" i="1"/>
  <c r="B7444" i="1"/>
  <c r="B7443" i="1"/>
  <c r="B7442" i="1"/>
  <c r="B7441" i="1"/>
  <c r="B7440" i="1"/>
  <c r="B7439" i="1"/>
  <c r="B7438" i="1"/>
  <c r="B7437" i="1"/>
  <c r="B7436" i="1"/>
  <c r="B7435" i="1"/>
  <c r="B7434" i="1"/>
  <c r="B7433" i="1"/>
  <c r="B7432" i="1"/>
  <c r="B7431" i="1"/>
  <c r="B7430" i="1"/>
  <c r="B7429" i="1"/>
  <c r="B7428" i="1"/>
  <c r="B7427" i="1"/>
  <c r="B7426" i="1"/>
  <c r="B7425" i="1"/>
  <c r="B7424" i="1"/>
  <c r="B7423" i="1"/>
  <c r="B7422" i="1"/>
  <c r="B7421" i="1"/>
  <c r="B7420" i="1"/>
  <c r="B7419" i="1"/>
  <c r="B7418" i="1"/>
  <c r="B7417" i="1"/>
  <c r="B7416" i="1"/>
  <c r="B7415" i="1"/>
  <c r="B7414" i="1"/>
  <c r="B7413" i="1"/>
  <c r="B7412" i="1"/>
  <c r="B7411" i="1"/>
  <c r="B7410" i="1"/>
  <c r="B7409" i="1"/>
  <c r="B7408" i="1"/>
  <c r="B7407" i="1"/>
  <c r="B7406" i="1"/>
  <c r="B7405" i="1"/>
  <c r="B7404" i="1"/>
  <c r="B7403" i="1"/>
  <c r="B7402" i="1"/>
  <c r="B7401" i="1"/>
  <c r="B7400" i="1"/>
  <c r="B7399" i="1"/>
  <c r="B7398" i="1"/>
  <c r="B7397" i="1"/>
  <c r="B7396" i="1"/>
  <c r="B7395" i="1"/>
  <c r="B7394" i="1"/>
  <c r="B7393" i="1"/>
  <c r="B7392" i="1"/>
  <c r="B7391" i="1"/>
  <c r="B7390" i="1"/>
  <c r="B7389" i="1"/>
  <c r="B7388" i="1"/>
  <c r="B7387" i="1"/>
  <c r="B7386" i="1"/>
  <c r="B7385" i="1"/>
  <c r="B7384" i="1"/>
  <c r="B7383" i="1"/>
  <c r="B7382" i="1"/>
  <c r="B7381" i="1"/>
  <c r="B7380" i="1"/>
  <c r="B7379" i="1"/>
  <c r="B7378" i="1"/>
  <c r="B7377" i="1"/>
  <c r="B7376" i="1"/>
  <c r="B7375" i="1"/>
  <c r="B7374" i="1"/>
  <c r="B7373" i="1"/>
  <c r="B7372" i="1"/>
  <c r="B7371" i="1"/>
  <c r="B7370" i="1"/>
  <c r="B7369" i="1"/>
  <c r="B7368" i="1"/>
  <c r="B7367" i="1"/>
  <c r="B7366" i="1"/>
  <c r="B7365" i="1"/>
  <c r="B7364" i="1"/>
  <c r="B7363" i="1"/>
  <c r="B7362" i="1"/>
  <c r="B7361" i="1"/>
  <c r="B7360" i="1"/>
  <c r="B7359" i="1"/>
  <c r="B7358" i="1"/>
  <c r="B7357" i="1"/>
  <c r="B7356" i="1"/>
  <c r="B7355" i="1"/>
  <c r="B7354" i="1"/>
  <c r="B7353" i="1"/>
  <c r="B7352" i="1"/>
  <c r="B7351" i="1"/>
  <c r="B7350" i="1"/>
  <c r="B7349" i="1"/>
  <c r="B7348" i="1"/>
  <c r="B7347" i="1"/>
  <c r="B7346" i="1"/>
  <c r="B7345" i="1"/>
  <c r="B7344" i="1"/>
  <c r="B7343" i="1"/>
  <c r="B7342" i="1"/>
  <c r="B7341" i="1"/>
  <c r="B7340" i="1"/>
  <c r="B7339" i="1"/>
  <c r="B7338" i="1"/>
  <c r="B7337" i="1"/>
  <c r="B7336" i="1"/>
  <c r="B7335" i="1"/>
  <c r="B7334" i="1"/>
  <c r="B7333" i="1"/>
  <c r="B7332" i="1"/>
  <c r="B7331" i="1"/>
  <c r="B7330" i="1"/>
  <c r="B7329" i="1"/>
  <c r="B7328" i="1"/>
  <c r="B7327" i="1"/>
  <c r="B7326" i="1"/>
  <c r="B7325" i="1"/>
  <c r="B7324" i="1"/>
  <c r="B7323" i="1"/>
  <c r="B7322" i="1"/>
  <c r="B7321" i="1"/>
  <c r="B7320" i="1"/>
  <c r="B7319" i="1"/>
  <c r="B7318" i="1"/>
  <c r="B7317" i="1"/>
  <c r="B7316" i="1"/>
  <c r="B7315" i="1"/>
  <c r="B7314" i="1"/>
  <c r="B7313" i="1"/>
  <c r="B7312" i="1"/>
  <c r="B7311" i="1"/>
  <c r="B7310" i="1"/>
  <c r="B7309" i="1"/>
  <c r="B7308" i="1"/>
  <c r="B7307" i="1"/>
  <c r="B7306" i="1"/>
  <c r="B7305" i="1"/>
  <c r="B7304" i="1"/>
  <c r="B7303" i="1"/>
  <c r="B7302" i="1"/>
  <c r="B7301" i="1"/>
  <c r="B7300" i="1"/>
  <c r="B7299" i="1"/>
  <c r="B7298" i="1"/>
  <c r="B7297" i="1"/>
  <c r="B7296" i="1"/>
  <c r="B7295" i="1"/>
  <c r="B7294" i="1"/>
  <c r="B7293" i="1"/>
  <c r="B7292" i="1"/>
  <c r="B7291" i="1"/>
  <c r="B7290" i="1"/>
  <c r="B7289" i="1"/>
  <c r="B7288" i="1"/>
  <c r="B7287" i="1"/>
  <c r="B7286" i="1"/>
  <c r="B7285" i="1"/>
  <c r="B7284" i="1"/>
  <c r="B7283" i="1"/>
  <c r="B7282" i="1"/>
  <c r="B7281" i="1"/>
  <c r="B7280" i="1"/>
  <c r="B7279" i="1"/>
  <c r="B7278" i="1"/>
  <c r="B7277" i="1"/>
  <c r="B7276" i="1"/>
  <c r="B7275" i="1"/>
  <c r="B7274" i="1"/>
  <c r="B7273" i="1"/>
  <c r="B7272" i="1"/>
  <c r="B7271" i="1"/>
  <c r="B7270" i="1"/>
  <c r="B7269" i="1"/>
  <c r="B7268" i="1"/>
  <c r="B7267" i="1"/>
  <c r="B7266" i="1"/>
  <c r="B7265" i="1"/>
  <c r="B7264" i="1"/>
  <c r="B7263" i="1"/>
  <c r="B7262" i="1"/>
  <c r="B7261" i="1"/>
  <c r="B7260" i="1"/>
  <c r="B7259" i="1"/>
  <c r="B7258" i="1"/>
  <c r="B7257" i="1"/>
  <c r="B7256" i="1"/>
  <c r="B7255" i="1"/>
  <c r="B7254" i="1"/>
  <c r="B7253" i="1"/>
  <c r="B7252" i="1"/>
  <c r="B7251" i="1"/>
  <c r="B7250" i="1"/>
  <c r="B7249" i="1"/>
  <c r="B7248" i="1"/>
  <c r="B7247" i="1"/>
  <c r="B7246" i="1"/>
  <c r="B7245" i="1"/>
  <c r="B7244" i="1"/>
  <c r="B7243" i="1"/>
  <c r="B7242" i="1"/>
  <c r="B7241" i="1"/>
  <c r="B7240" i="1"/>
  <c r="B7239" i="1"/>
  <c r="B7238" i="1"/>
  <c r="B7237" i="1"/>
  <c r="B7236" i="1"/>
  <c r="B7235" i="1"/>
  <c r="B7234" i="1"/>
  <c r="B7233" i="1"/>
  <c r="B7232" i="1"/>
  <c r="B7231" i="1"/>
  <c r="B7230" i="1"/>
  <c r="B7229" i="1"/>
  <c r="B7228" i="1"/>
  <c r="B7227" i="1"/>
  <c r="B7226" i="1"/>
  <c r="B7225" i="1"/>
  <c r="B7224" i="1"/>
  <c r="B7223" i="1"/>
  <c r="B7222" i="1"/>
  <c r="B7221" i="1"/>
  <c r="B7220" i="1"/>
  <c r="B7219" i="1"/>
  <c r="B7218" i="1"/>
  <c r="B7217" i="1"/>
  <c r="B7216" i="1"/>
  <c r="B7215" i="1"/>
  <c r="B7214" i="1"/>
  <c r="B7213" i="1"/>
  <c r="B7212" i="1"/>
  <c r="B7211" i="1"/>
  <c r="B7210" i="1"/>
  <c r="B7209" i="1"/>
  <c r="B7208" i="1"/>
  <c r="B7207" i="1"/>
  <c r="B7206" i="1"/>
  <c r="B7205" i="1"/>
  <c r="B7204" i="1"/>
  <c r="B7203" i="1"/>
  <c r="B7202" i="1"/>
  <c r="B7201" i="1"/>
  <c r="B7200" i="1"/>
  <c r="B7199" i="1"/>
  <c r="B7198" i="1"/>
  <c r="B7197" i="1"/>
  <c r="B7196" i="1"/>
  <c r="B7195" i="1"/>
  <c r="B7194" i="1"/>
  <c r="B7193" i="1"/>
  <c r="B7192" i="1"/>
  <c r="B7191" i="1"/>
  <c r="B7190" i="1"/>
  <c r="B7189" i="1"/>
  <c r="B7188" i="1"/>
  <c r="B7187" i="1"/>
  <c r="B7186" i="1"/>
  <c r="B7185" i="1"/>
  <c r="B7184" i="1"/>
  <c r="B7183" i="1"/>
  <c r="B7182" i="1"/>
  <c r="B7181" i="1"/>
  <c r="B7180" i="1"/>
  <c r="B7179" i="1"/>
  <c r="B7178" i="1"/>
  <c r="B7177" i="1"/>
  <c r="B7176" i="1"/>
  <c r="B7175" i="1"/>
  <c r="B7174" i="1"/>
  <c r="B7173" i="1"/>
  <c r="B7172" i="1"/>
  <c r="B7171" i="1"/>
  <c r="B7170" i="1"/>
  <c r="B7169" i="1"/>
  <c r="B7168" i="1"/>
  <c r="B7167" i="1"/>
  <c r="B7166" i="1"/>
  <c r="B7165" i="1"/>
  <c r="B7164" i="1"/>
  <c r="B7163" i="1"/>
  <c r="B7162" i="1"/>
  <c r="B7161" i="1"/>
  <c r="B7160" i="1"/>
  <c r="B7159" i="1"/>
  <c r="B7158" i="1"/>
  <c r="B7157" i="1"/>
  <c r="B7156" i="1"/>
  <c r="B7155" i="1"/>
  <c r="B7154" i="1"/>
  <c r="B7153" i="1"/>
  <c r="B7152" i="1"/>
  <c r="B7151" i="1"/>
  <c r="B7150" i="1"/>
  <c r="B7149" i="1"/>
  <c r="B7148" i="1"/>
  <c r="B7147" i="1"/>
  <c r="B7146" i="1"/>
  <c r="B7145" i="1"/>
  <c r="B7144" i="1"/>
  <c r="B7143" i="1"/>
  <c r="B7142" i="1"/>
  <c r="B7141" i="1"/>
  <c r="B7140" i="1"/>
  <c r="B7139" i="1"/>
  <c r="B7138" i="1"/>
  <c r="B7137" i="1"/>
  <c r="B7136" i="1"/>
  <c r="B7135" i="1"/>
  <c r="B7134" i="1"/>
  <c r="B7133" i="1"/>
  <c r="B7132" i="1"/>
  <c r="B7131" i="1"/>
  <c r="B7130" i="1"/>
  <c r="B7129" i="1"/>
  <c r="B7128" i="1"/>
  <c r="B7127" i="1"/>
  <c r="B7126" i="1"/>
  <c r="B7125" i="1"/>
  <c r="B7124" i="1"/>
  <c r="B7123" i="1"/>
  <c r="B7122" i="1"/>
  <c r="B7121" i="1"/>
  <c r="B7120" i="1"/>
  <c r="B7119" i="1"/>
  <c r="B7118" i="1"/>
  <c r="B7117" i="1"/>
  <c r="B7116" i="1"/>
  <c r="B7115" i="1"/>
  <c r="B7114" i="1"/>
  <c r="B7113" i="1"/>
  <c r="B7112" i="1"/>
  <c r="B7111" i="1"/>
  <c r="B7110" i="1"/>
  <c r="B7109" i="1"/>
  <c r="B7108" i="1"/>
  <c r="B7107" i="1"/>
  <c r="B7106" i="1"/>
  <c r="B7105" i="1"/>
  <c r="B7104" i="1"/>
  <c r="B7103" i="1"/>
  <c r="B7102" i="1"/>
  <c r="B7101" i="1"/>
  <c r="B7100" i="1"/>
  <c r="B7099" i="1"/>
  <c r="B7098" i="1"/>
  <c r="B7097" i="1"/>
  <c r="B7096" i="1"/>
  <c r="B7095" i="1"/>
  <c r="B7094" i="1"/>
  <c r="B7093" i="1"/>
  <c r="B7092" i="1"/>
  <c r="B7091" i="1"/>
  <c r="B7090" i="1"/>
  <c r="B7089" i="1"/>
  <c r="B7088" i="1"/>
  <c r="B7087" i="1"/>
  <c r="B7086" i="1"/>
  <c r="B7085" i="1"/>
  <c r="B7084" i="1"/>
  <c r="B7083" i="1"/>
  <c r="B7082" i="1"/>
  <c r="B7081" i="1"/>
  <c r="B7080" i="1"/>
  <c r="B7079" i="1"/>
  <c r="B7078" i="1"/>
  <c r="B7077" i="1"/>
  <c r="B7076" i="1"/>
  <c r="B7075" i="1"/>
  <c r="B7074" i="1"/>
  <c r="B7073" i="1"/>
  <c r="B7072" i="1"/>
  <c r="B7071" i="1"/>
  <c r="B7070" i="1"/>
  <c r="B7069" i="1"/>
  <c r="B7068" i="1"/>
  <c r="B7067" i="1"/>
  <c r="B7066" i="1"/>
  <c r="B7065" i="1"/>
  <c r="B7064" i="1"/>
  <c r="B7063" i="1"/>
  <c r="B7062" i="1"/>
  <c r="B7061" i="1"/>
  <c r="B7060" i="1"/>
  <c r="B7059" i="1"/>
  <c r="B7058" i="1"/>
  <c r="B7057" i="1"/>
  <c r="B7056" i="1"/>
  <c r="B7055" i="1"/>
  <c r="B7054" i="1"/>
  <c r="B7053" i="1"/>
  <c r="B7052" i="1"/>
  <c r="B7051" i="1"/>
  <c r="B7050" i="1"/>
  <c r="B7049" i="1"/>
  <c r="B7048" i="1"/>
  <c r="B7047" i="1"/>
  <c r="B7046" i="1"/>
  <c r="B7045" i="1"/>
  <c r="B7044" i="1"/>
  <c r="B7043" i="1"/>
  <c r="B7042" i="1"/>
  <c r="B7041" i="1"/>
  <c r="B7040" i="1"/>
  <c r="B7039" i="1"/>
  <c r="B7038" i="1"/>
  <c r="B7037" i="1"/>
  <c r="B7036" i="1"/>
  <c r="B7035" i="1"/>
  <c r="B7034" i="1"/>
  <c r="B7033" i="1"/>
  <c r="B7032" i="1"/>
  <c r="B7031" i="1"/>
  <c r="B7030" i="1"/>
  <c r="B7029" i="1"/>
  <c r="B7028" i="1"/>
  <c r="B7027" i="1"/>
  <c r="B7026" i="1"/>
  <c r="B7025" i="1"/>
  <c r="B7024" i="1"/>
  <c r="B7023" i="1"/>
  <c r="B7022" i="1"/>
  <c r="B7021" i="1"/>
  <c r="B7020" i="1"/>
  <c r="B7019" i="1"/>
  <c r="B7018" i="1"/>
  <c r="B7017" i="1"/>
  <c r="B7016" i="1"/>
  <c r="B7015" i="1"/>
  <c r="B7014" i="1"/>
  <c r="B7013" i="1"/>
  <c r="B7012" i="1"/>
  <c r="B7011" i="1"/>
  <c r="B7010" i="1"/>
  <c r="B7009" i="1"/>
  <c r="B7008" i="1"/>
  <c r="B7007" i="1"/>
  <c r="B7006" i="1"/>
  <c r="B7005" i="1"/>
  <c r="B7004" i="1"/>
  <c r="B7003" i="1"/>
  <c r="B7002" i="1"/>
  <c r="B7001" i="1"/>
  <c r="B7000" i="1"/>
  <c r="B6999" i="1"/>
  <c r="B6998" i="1"/>
  <c r="B6997" i="1"/>
  <c r="B6996" i="1"/>
  <c r="B6995" i="1"/>
  <c r="B6994" i="1"/>
  <c r="B6993" i="1"/>
  <c r="B6992" i="1"/>
  <c r="B6991" i="1"/>
  <c r="B6990" i="1"/>
  <c r="B6989" i="1"/>
  <c r="B6988" i="1"/>
  <c r="B6987" i="1"/>
  <c r="B6986" i="1"/>
  <c r="B6985" i="1"/>
  <c r="B6984" i="1"/>
  <c r="B6983" i="1"/>
  <c r="B6982" i="1"/>
  <c r="B6981" i="1"/>
  <c r="B6980" i="1"/>
  <c r="B6979" i="1"/>
  <c r="B6978" i="1"/>
  <c r="B6977" i="1"/>
  <c r="B6976" i="1"/>
  <c r="B6975" i="1"/>
  <c r="B6974" i="1"/>
  <c r="B6973" i="1"/>
  <c r="B6972" i="1"/>
  <c r="B6971" i="1"/>
  <c r="B6970" i="1"/>
  <c r="B6969" i="1"/>
  <c r="B6968" i="1"/>
  <c r="B6967" i="1"/>
  <c r="B6966" i="1"/>
  <c r="B6965" i="1"/>
  <c r="B6964" i="1"/>
  <c r="B6963" i="1"/>
  <c r="B6962" i="1"/>
  <c r="B6961" i="1"/>
  <c r="B6960" i="1"/>
  <c r="B6959" i="1"/>
  <c r="B6958" i="1"/>
  <c r="B6957" i="1"/>
  <c r="B6956" i="1"/>
  <c r="B6955" i="1"/>
  <c r="B6954" i="1"/>
  <c r="B6953" i="1"/>
  <c r="B6952" i="1"/>
  <c r="B6951" i="1"/>
  <c r="B6950" i="1"/>
  <c r="B6949" i="1"/>
  <c r="B6948" i="1"/>
  <c r="B6947" i="1"/>
  <c r="B6946" i="1"/>
  <c r="B6945" i="1"/>
  <c r="B6944" i="1"/>
  <c r="B6943" i="1"/>
  <c r="B6942" i="1"/>
  <c r="B6941" i="1"/>
  <c r="B6940" i="1"/>
  <c r="B6939" i="1"/>
  <c r="B6938" i="1"/>
  <c r="B6937" i="1"/>
  <c r="B6936" i="1"/>
  <c r="B6935" i="1"/>
  <c r="B6934" i="1"/>
  <c r="B6933" i="1"/>
  <c r="B6932" i="1"/>
  <c r="B6931" i="1"/>
  <c r="B6930" i="1"/>
  <c r="B6929" i="1"/>
  <c r="B6928" i="1"/>
  <c r="B6927" i="1"/>
  <c r="B6926" i="1"/>
  <c r="B6925" i="1"/>
  <c r="B6924" i="1"/>
  <c r="B6923" i="1"/>
  <c r="B6922" i="1"/>
  <c r="B6921" i="1"/>
  <c r="B6920" i="1"/>
  <c r="B6919" i="1"/>
  <c r="B6918" i="1"/>
  <c r="B6917" i="1"/>
  <c r="B6916" i="1"/>
  <c r="B6915" i="1"/>
  <c r="B6914" i="1"/>
  <c r="B6913" i="1"/>
  <c r="B6912" i="1"/>
  <c r="B6911" i="1"/>
  <c r="B6910" i="1"/>
  <c r="B6909" i="1"/>
  <c r="B6908" i="1"/>
  <c r="B6907" i="1"/>
  <c r="B6906" i="1"/>
  <c r="B6905" i="1"/>
  <c r="B6904" i="1"/>
  <c r="B6903" i="1"/>
  <c r="B6902" i="1"/>
  <c r="B6901" i="1"/>
  <c r="B6900" i="1"/>
  <c r="B6899" i="1"/>
  <c r="B6898" i="1"/>
  <c r="B6897" i="1"/>
  <c r="B6896" i="1"/>
  <c r="B6895" i="1"/>
  <c r="B6894" i="1"/>
  <c r="B6893" i="1"/>
  <c r="B6892" i="1"/>
  <c r="B6891" i="1"/>
  <c r="B6890" i="1"/>
  <c r="B6889" i="1"/>
  <c r="B6888" i="1"/>
  <c r="B6887" i="1"/>
  <c r="B6886" i="1"/>
  <c r="B6885" i="1"/>
  <c r="B6884" i="1"/>
  <c r="B6883" i="1"/>
  <c r="B6882" i="1"/>
  <c r="B6881" i="1"/>
  <c r="B6880" i="1"/>
  <c r="B6879" i="1"/>
  <c r="B6878" i="1"/>
  <c r="B6877" i="1"/>
  <c r="B6876" i="1"/>
  <c r="B6875" i="1"/>
  <c r="B6874" i="1"/>
  <c r="B6873" i="1"/>
  <c r="B6872" i="1"/>
  <c r="B6871" i="1"/>
  <c r="B6870" i="1"/>
  <c r="B6869" i="1"/>
  <c r="B6868" i="1"/>
  <c r="B6867" i="1"/>
  <c r="B6866" i="1"/>
  <c r="B6865" i="1"/>
  <c r="B6864" i="1"/>
  <c r="B6863" i="1"/>
  <c r="B6862" i="1"/>
  <c r="B6861" i="1"/>
  <c r="B6860" i="1"/>
  <c r="B6859" i="1"/>
  <c r="B6858" i="1"/>
  <c r="B6857" i="1"/>
  <c r="B6856" i="1"/>
  <c r="B6855" i="1"/>
  <c r="B6854" i="1"/>
  <c r="B6853" i="1"/>
  <c r="B6852" i="1"/>
  <c r="B6851" i="1"/>
  <c r="B6850" i="1"/>
  <c r="B6849" i="1"/>
  <c r="B6848" i="1"/>
  <c r="B6847" i="1"/>
  <c r="B6846" i="1"/>
  <c r="B6845" i="1"/>
  <c r="B6844" i="1"/>
  <c r="B6843" i="1"/>
  <c r="B6842" i="1"/>
  <c r="B6841" i="1"/>
  <c r="B6840" i="1"/>
  <c r="B6839" i="1"/>
  <c r="B6838" i="1"/>
  <c r="B6837" i="1"/>
  <c r="B6836" i="1"/>
  <c r="B6835" i="1"/>
  <c r="B6834" i="1"/>
  <c r="B6833" i="1"/>
  <c r="B6832" i="1"/>
  <c r="B6831" i="1"/>
  <c r="B6830" i="1"/>
  <c r="B6829" i="1"/>
  <c r="B6828" i="1"/>
  <c r="B6827" i="1"/>
  <c r="B6826" i="1"/>
  <c r="B6825" i="1"/>
  <c r="B6824" i="1"/>
  <c r="B6823" i="1"/>
  <c r="B6822" i="1"/>
  <c r="B6821" i="1"/>
  <c r="B6820" i="1"/>
  <c r="B6819" i="1"/>
  <c r="B6818" i="1"/>
  <c r="B6817" i="1"/>
  <c r="B6816" i="1"/>
  <c r="B6815" i="1"/>
  <c r="B6814" i="1"/>
  <c r="B6813" i="1"/>
  <c r="B6812" i="1"/>
  <c r="B6811" i="1"/>
  <c r="B6810" i="1"/>
  <c r="B6809" i="1"/>
  <c r="B6808" i="1"/>
  <c r="B6807" i="1"/>
  <c r="B6806" i="1"/>
  <c r="B6805" i="1"/>
  <c r="B6804" i="1"/>
  <c r="B6803" i="1"/>
  <c r="B6802" i="1"/>
  <c r="B6801" i="1"/>
  <c r="B6800" i="1"/>
  <c r="B6799" i="1"/>
  <c r="B6798" i="1"/>
  <c r="B6797" i="1"/>
  <c r="B6796" i="1"/>
  <c r="B6795" i="1"/>
  <c r="B6794" i="1"/>
  <c r="B6793" i="1"/>
  <c r="B6792" i="1"/>
  <c r="B6791" i="1"/>
  <c r="B6790" i="1"/>
  <c r="B6789" i="1"/>
  <c r="B6788" i="1"/>
  <c r="B6787" i="1"/>
  <c r="B6786" i="1"/>
  <c r="B6785" i="1"/>
  <c r="B6784" i="1"/>
  <c r="B6783" i="1"/>
  <c r="B6782" i="1"/>
  <c r="B6781" i="1"/>
  <c r="B6780" i="1"/>
  <c r="B6779" i="1"/>
  <c r="B6778" i="1"/>
  <c r="B6777" i="1"/>
  <c r="B6776" i="1"/>
  <c r="B6775" i="1"/>
  <c r="B6774" i="1"/>
  <c r="B6773" i="1"/>
  <c r="B6772" i="1"/>
  <c r="B6771" i="1"/>
  <c r="B6770" i="1"/>
  <c r="B6769" i="1"/>
  <c r="B6768" i="1"/>
  <c r="B6767" i="1"/>
  <c r="B6766" i="1"/>
  <c r="B6765" i="1"/>
  <c r="B6764" i="1"/>
  <c r="B6763" i="1"/>
  <c r="B6762" i="1"/>
  <c r="B6761" i="1"/>
  <c r="B6760" i="1"/>
  <c r="B6759" i="1"/>
  <c r="B6758" i="1"/>
  <c r="B6757" i="1"/>
  <c r="B6756" i="1"/>
  <c r="B6755" i="1"/>
  <c r="B6754" i="1"/>
  <c r="B6753" i="1"/>
  <c r="B6752" i="1"/>
  <c r="B6751" i="1"/>
  <c r="B6750" i="1"/>
  <c r="B6749" i="1"/>
  <c r="B6748" i="1"/>
  <c r="B6747" i="1"/>
  <c r="B6746" i="1"/>
  <c r="B6745" i="1"/>
  <c r="B6744" i="1"/>
  <c r="B6743" i="1"/>
  <c r="B6742" i="1"/>
  <c r="B6741" i="1"/>
  <c r="B6740" i="1"/>
  <c r="B6739" i="1"/>
  <c r="B6738" i="1"/>
  <c r="B6737" i="1"/>
  <c r="B6736" i="1"/>
  <c r="B6735" i="1"/>
  <c r="B6734" i="1"/>
  <c r="B6733" i="1"/>
  <c r="B6732" i="1"/>
  <c r="B6731" i="1"/>
  <c r="B6730" i="1"/>
  <c r="B6729" i="1"/>
  <c r="B6728" i="1"/>
  <c r="B6727" i="1"/>
  <c r="B6726" i="1"/>
  <c r="B6725" i="1"/>
  <c r="B6724" i="1"/>
  <c r="B6723" i="1"/>
  <c r="B6722" i="1"/>
  <c r="B6721" i="1"/>
  <c r="B6720" i="1"/>
  <c r="B6719" i="1"/>
  <c r="B6718" i="1"/>
  <c r="B6717" i="1"/>
  <c r="B6716" i="1"/>
  <c r="B6715" i="1"/>
  <c r="B6714" i="1"/>
  <c r="B6713" i="1"/>
  <c r="B6712" i="1"/>
  <c r="B6711" i="1"/>
  <c r="B6710" i="1"/>
  <c r="B6709" i="1"/>
  <c r="B6708" i="1"/>
  <c r="B6707" i="1"/>
  <c r="B6706" i="1"/>
  <c r="B6705" i="1"/>
  <c r="B6704" i="1"/>
  <c r="B6703" i="1"/>
  <c r="B6702" i="1"/>
  <c r="B6701" i="1"/>
  <c r="B6700" i="1"/>
  <c r="B6699" i="1"/>
  <c r="B6698" i="1"/>
  <c r="B6697" i="1"/>
  <c r="B6696" i="1"/>
  <c r="B6695" i="1"/>
  <c r="B6694" i="1"/>
  <c r="B6693" i="1"/>
  <c r="B6692" i="1"/>
  <c r="B6691" i="1"/>
  <c r="B6690" i="1"/>
  <c r="B6689" i="1"/>
  <c r="B6688" i="1"/>
  <c r="B6687" i="1"/>
  <c r="B6686" i="1"/>
  <c r="B6685" i="1"/>
  <c r="B6684" i="1"/>
  <c r="B6683" i="1"/>
  <c r="B6682" i="1"/>
  <c r="B6681" i="1"/>
  <c r="B6680" i="1"/>
  <c r="B6679" i="1"/>
  <c r="B6678" i="1"/>
  <c r="B6677" i="1"/>
  <c r="B6676" i="1"/>
  <c r="B6675" i="1"/>
  <c r="B6674" i="1"/>
  <c r="B6673" i="1"/>
  <c r="B6672" i="1"/>
  <c r="B6671" i="1"/>
  <c r="B6670" i="1"/>
  <c r="B6669" i="1"/>
  <c r="B6668" i="1"/>
  <c r="B6667" i="1"/>
  <c r="B6666" i="1"/>
  <c r="B6665" i="1"/>
  <c r="B6664" i="1"/>
  <c r="B6663" i="1"/>
  <c r="B6662" i="1"/>
  <c r="B6661" i="1"/>
  <c r="B6660" i="1"/>
  <c r="B6659" i="1"/>
  <c r="B6658" i="1"/>
  <c r="B6657" i="1"/>
  <c r="B6656" i="1"/>
  <c r="B6655" i="1"/>
  <c r="B6654" i="1"/>
  <c r="B6653" i="1"/>
  <c r="B6652" i="1"/>
  <c r="B6651" i="1"/>
  <c r="B6650" i="1"/>
  <c r="B6649" i="1"/>
  <c r="B6648" i="1"/>
  <c r="B6647" i="1"/>
  <c r="B6646" i="1"/>
  <c r="B6645" i="1"/>
  <c r="B6644" i="1"/>
  <c r="B6643" i="1"/>
  <c r="B6642" i="1"/>
  <c r="B6641" i="1"/>
  <c r="B6640" i="1"/>
  <c r="B6639" i="1"/>
  <c r="B6638" i="1"/>
  <c r="B6637" i="1"/>
  <c r="B6636" i="1"/>
  <c r="B6635" i="1"/>
  <c r="B6634" i="1"/>
  <c r="B6633" i="1"/>
  <c r="B6632" i="1"/>
  <c r="B6631" i="1"/>
  <c r="B6630" i="1"/>
  <c r="B6629" i="1"/>
  <c r="B6628" i="1"/>
  <c r="B6627" i="1"/>
  <c r="B6626" i="1"/>
  <c r="B6625" i="1"/>
  <c r="B6624" i="1"/>
  <c r="B6623" i="1"/>
  <c r="B6622" i="1"/>
  <c r="B6621" i="1"/>
  <c r="B6620" i="1"/>
  <c r="B6619" i="1"/>
  <c r="B6618" i="1"/>
  <c r="B6617" i="1"/>
  <c r="B6616" i="1"/>
  <c r="B6615" i="1"/>
  <c r="B6614" i="1"/>
  <c r="B6613" i="1"/>
  <c r="B6612" i="1"/>
  <c r="B6611" i="1"/>
  <c r="B6610" i="1"/>
  <c r="B6609" i="1"/>
  <c r="B6608" i="1"/>
  <c r="B6607" i="1"/>
  <c r="B6606" i="1"/>
  <c r="B6605" i="1"/>
  <c r="B6604" i="1"/>
  <c r="B6603" i="1"/>
  <c r="B6602" i="1"/>
  <c r="B6601" i="1"/>
  <c r="B6600" i="1"/>
  <c r="B6599" i="1"/>
  <c r="B6598" i="1"/>
  <c r="B6597" i="1"/>
  <c r="B6596" i="1"/>
  <c r="B6595" i="1"/>
  <c r="B6594" i="1"/>
  <c r="B6593" i="1"/>
  <c r="B6592" i="1"/>
  <c r="B6591" i="1"/>
  <c r="B6590" i="1"/>
  <c r="B6589" i="1"/>
  <c r="B6588" i="1"/>
  <c r="B6587" i="1"/>
  <c r="B6586" i="1"/>
  <c r="B6585" i="1"/>
  <c r="B6584" i="1"/>
  <c r="B6583" i="1"/>
  <c r="B6582" i="1"/>
  <c r="B6581" i="1"/>
  <c r="B6580" i="1"/>
  <c r="B6579" i="1"/>
  <c r="B6578" i="1"/>
  <c r="B6577" i="1"/>
  <c r="B6576" i="1"/>
  <c r="B6575" i="1"/>
  <c r="B6574" i="1"/>
  <c r="B6573" i="1"/>
  <c r="B6572" i="1"/>
  <c r="B6571" i="1"/>
  <c r="B6570" i="1"/>
  <c r="B6569" i="1"/>
  <c r="B6568" i="1"/>
  <c r="B6567" i="1"/>
  <c r="B6566" i="1"/>
  <c r="B6565" i="1"/>
  <c r="B6564" i="1"/>
  <c r="B6563" i="1"/>
  <c r="B6562" i="1"/>
  <c r="B6561" i="1"/>
  <c r="B6560" i="1"/>
  <c r="B6559" i="1"/>
  <c r="B6558" i="1"/>
  <c r="B6557" i="1"/>
  <c r="B6556" i="1"/>
  <c r="B6555" i="1"/>
  <c r="B6554" i="1"/>
  <c r="B6553" i="1"/>
  <c r="B6552" i="1"/>
  <c r="B6551" i="1"/>
  <c r="B6550" i="1"/>
  <c r="B6549" i="1"/>
  <c r="B6548" i="1"/>
  <c r="B6547" i="1"/>
  <c r="B6546" i="1"/>
  <c r="B6545" i="1"/>
  <c r="B6544" i="1"/>
  <c r="B6543" i="1"/>
  <c r="B6542" i="1"/>
  <c r="B6541" i="1"/>
  <c r="B6540" i="1"/>
  <c r="B6539" i="1"/>
  <c r="B6538" i="1"/>
  <c r="B6537" i="1"/>
  <c r="B6536" i="1"/>
  <c r="B6535" i="1"/>
  <c r="B6534" i="1"/>
  <c r="B6533" i="1"/>
  <c r="B6532" i="1"/>
  <c r="B6531" i="1"/>
  <c r="B6530" i="1"/>
  <c r="B6529" i="1"/>
  <c r="B6528" i="1"/>
  <c r="B6527" i="1"/>
  <c r="B6526" i="1"/>
  <c r="B6525" i="1"/>
  <c r="B6524" i="1"/>
  <c r="B6523" i="1"/>
  <c r="B6522" i="1"/>
  <c r="B6521" i="1"/>
  <c r="B6520" i="1"/>
  <c r="B6519" i="1"/>
  <c r="B6518" i="1"/>
  <c r="B6517" i="1"/>
  <c r="B6516" i="1"/>
  <c r="B6515" i="1"/>
  <c r="B6514" i="1"/>
  <c r="B6513" i="1"/>
  <c r="B6512" i="1"/>
  <c r="B6511" i="1"/>
  <c r="B6510" i="1"/>
  <c r="B6509" i="1"/>
  <c r="B6508" i="1"/>
  <c r="B6507" i="1"/>
  <c r="B6506" i="1"/>
  <c r="B6505" i="1"/>
  <c r="B6504" i="1"/>
  <c r="B6503" i="1"/>
  <c r="B6502" i="1"/>
  <c r="B6501" i="1"/>
  <c r="B6500" i="1"/>
  <c r="B6499" i="1"/>
  <c r="B6498" i="1"/>
  <c r="B6497" i="1"/>
  <c r="B6496" i="1"/>
  <c r="B6495" i="1"/>
  <c r="B6494" i="1"/>
  <c r="B6493" i="1"/>
  <c r="B6492" i="1"/>
  <c r="B6491" i="1"/>
  <c r="B6490" i="1"/>
  <c r="B6489" i="1"/>
  <c r="B6488" i="1"/>
  <c r="B6487" i="1"/>
  <c r="B6486" i="1"/>
  <c r="B6485" i="1"/>
  <c r="B6484" i="1"/>
  <c r="B6483" i="1"/>
  <c r="B6482" i="1"/>
  <c r="B6481" i="1"/>
  <c r="B6480" i="1"/>
  <c r="B6479" i="1"/>
  <c r="B6478" i="1"/>
  <c r="B6477" i="1"/>
  <c r="B6476" i="1"/>
  <c r="B6475" i="1"/>
  <c r="B6474" i="1"/>
  <c r="B6473" i="1"/>
  <c r="B6472" i="1"/>
  <c r="B6471" i="1"/>
  <c r="B6470" i="1"/>
  <c r="B6469" i="1"/>
  <c r="B6468" i="1"/>
  <c r="B6467" i="1"/>
  <c r="B6466" i="1"/>
  <c r="B6465" i="1"/>
  <c r="B6464" i="1"/>
  <c r="B6463" i="1"/>
  <c r="B6462" i="1"/>
  <c r="B6461" i="1"/>
  <c r="B6460" i="1"/>
  <c r="B6459" i="1"/>
  <c r="B6458" i="1"/>
  <c r="B6457" i="1"/>
  <c r="B6456" i="1"/>
  <c r="B6455" i="1"/>
  <c r="B6454" i="1"/>
  <c r="B6453" i="1"/>
  <c r="B6452" i="1"/>
  <c r="B6451" i="1"/>
  <c r="B6450" i="1"/>
  <c r="B6449" i="1"/>
  <c r="B6448" i="1"/>
  <c r="B6447" i="1"/>
  <c r="B6446" i="1"/>
  <c r="B6445" i="1"/>
  <c r="B6444" i="1"/>
  <c r="B6443" i="1"/>
  <c r="B6442" i="1"/>
  <c r="B6441" i="1"/>
  <c r="B6440" i="1"/>
  <c r="B6439" i="1"/>
  <c r="B6438" i="1"/>
  <c r="B6437" i="1"/>
  <c r="B6436" i="1"/>
  <c r="B6435" i="1"/>
  <c r="B6434" i="1"/>
  <c r="B6433" i="1"/>
  <c r="B6432" i="1"/>
  <c r="B6431" i="1"/>
  <c r="B6430" i="1"/>
  <c r="B6429" i="1"/>
  <c r="B6428" i="1"/>
  <c r="B6427" i="1"/>
  <c r="B6426" i="1"/>
  <c r="B6425" i="1"/>
  <c r="B6424" i="1"/>
  <c r="B6423" i="1"/>
  <c r="B6422" i="1"/>
  <c r="B6421" i="1"/>
  <c r="B6420" i="1"/>
  <c r="B6419" i="1"/>
  <c r="B6418" i="1"/>
  <c r="B6417" i="1"/>
  <c r="B6416" i="1"/>
  <c r="B6415" i="1"/>
  <c r="B6414" i="1"/>
  <c r="B6413" i="1"/>
  <c r="B6412" i="1"/>
  <c r="B6411" i="1"/>
  <c r="B6410" i="1"/>
  <c r="B6409" i="1"/>
  <c r="B6408" i="1"/>
  <c r="B6407" i="1"/>
  <c r="B6406" i="1"/>
  <c r="B6405" i="1"/>
  <c r="B6404" i="1"/>
  <c r="B6403" i="1"/>
  <c r="B6402" i="1"/>
  <c r="B6401" i="1"/>
  <c r="B6400" i="1"/>
  <c r="B6399" i="1"/>
  <c r="B6398" i="1"/>
  <c r="B6397" i="1"/>
  <c r="B6396" i="1"/>
  <c r="B6395" i="1"/>
  <c r="B6394" i="1"/>
  <c r="B6393" i="1"/>
  <c r="B6392" i="1"/>
  <c r="B6391" i="1"/>
  <c r="B6390" i="1"/>
  <c r="B6389" i="1"/>
  <c r="B6388" i="1"/>
  <c r="B6387" i="1"/>
  <c r="B6386" i="1"/>
  <c r="B6385" i="1"/>
  <c r="B6384" i="1"/>
  <c r="B6383" i="1"/>
  <c r="B6382" i="1"/>
  <c r="B6381" i="1"/>
  <c r="B6380" i="1"/>
  <c r="B6379" i="1"/>
  <c r="B6378" i="1"/>
  <c r="B6377" i="1"/>
  <c r="B6376" i="1"/>
  <c r="B6375" i="1"/>
  <c r="B6374" i="1"/>
  <c r="B6373" i="1"/>
  <c r="B6372" i="1"/>
  <c r="B6371" i="1"/>
  <c r="B6370" i="1"/>
  <c r="B6369" i="1"/>
  <c r="B6368" i="1"/>
  <c r="B6367" i="1"/>
  <c r="B6366" i="1"/>
  <c r="B6365" i="1"/>
  <c r="B6364" i="1"/>
  <c r="B6363" i="1"/>
  <c r="B6362" i="1"/>
  <c r="B6361" i="1"/>
  <c r="B6360" i="1"/>
  <c r="B6359" i="1"/>
  <c r="B6358" i="1"/>
  <c r="B6357" i="1"/>
  <c r="B6356" i="1"/>
  <c r="B6355" i="1"/>
  <c r="B6354" i="1"/>
  <c r="B6353" i="1"/>
  <c r="B6352" i="1"/>
  <c r="B6351" i="1"/>
  <c r="B6350" i="1"/>
  <c r="B6349" i="1"/>
  <c r="B6348" i="1"/>
  <c r="B6347" i="1"/>
  <c r="B6346" i="1"/>
  <c r="B6345" i="1"/>
  <c r="B6344" i="1"/>
  <c r="B6343" i="1"/>
  <c r="B6342" i="1"/>
  <c r="B6341" i="1"/>
  <c r="B6340" i="1"/>
  <c r="B6339" i="1"/>
  <c r="B6338" i="1"/>
  <c r="B6337" i="1"/>
  <c r="B6336" i="1"/>
  <c r="B6335" i="1"/>
  <c r="B6334" i="1"/>
  <c r="B6333" i="1"/>
  <c r="B6332" i="1"/>
  <c r="B6331" i="1"/>
  <c r="B6330" i="1"/>
  <c r="B6329" i="1"/>
  <c r="B6328" i="1"/>
  <c r="B6327" i="1"/>
  <c r="B6326" i="1"/>
  <c r="B6325" i="1"/>
  <c r="B6324" i="1"/>
  <c r="B6323" i="1"/>
  <c r="B6322" i="1"/>
  <c r="B6321" i="1"/>
  <c r="B6320" i="1"/>
  <c r="B6319" i="1"/>
  <c r="B6318" i="1"/>
  <c r="B6317" i="1"/>
  <c r="B6316" i="1"/>
  <c r="B6315" i="1"/>
  <c r="B6314" i="1"/>
  <c r="B6313" i="1"/>
  <c r="B6312" i="1"/>
  <c r="B6311" i="1"/>
  <c r="B6310" i="1"/>
  <c r="B6309" i="1"/>
  <c r="B6308" i="1"/>
  <c r="B6307" i="1"/>
  <c r="B6306" i="1"/>
  <c r="B6305" i="1"/>
  <c r="B6304" i="1"/>
  <c r="B6303" i="1"/>
  <c r="B6302" i="1"/>
  <c r="B6301" i="1"/>
  <c r="B6300" i="1"/>
  <c r="B6299" i="1"/>
  <c r="B6298" i="1"/>
  <c r="B6297" i="1"/>
  <c r="B6296" i="1"/>
  <c r="B6295" i="1"/>
  <c r="B6294" i="1"/>
  <c r="B6293" i="1"/>
  <c r="B6292" i="1"/>
  <c r="B6291" i="1"/>
  <c r="B6290" i="1"/>
  <c r="B6289" i="1"/>
  <c r="B6288" i="1"/>
  <c r="B6287" i="1"/>
  <c r="B6286" i="1"/>
  <c r="B6285" i="1"/>
  <c r="B6284" i="1"/>
  <c r="B6283" i="1"/>
  <c r="B6282" i="1"/>
  <c r="B6281" i="1"/>
  <c r="B6280" i="1"/>
  <c r="B6279" i="1"/>
  <c r="B6278" i="1"/>
  <c r="B6277" i="1"/>
  <c r="B6276" i="1"/>
  <c r="B6275" i="1"/>
  <c r="B6274" i="1"/>
  <c r="B6273" i="1"/>
  <c r="B6272" i="1"/>
  <c r="B6271" i="1"/>
  <c r="B6270" i="1"/>
  <c r="B6269" i="1"/>
  <c r="B6268" i="1"/>
  <c r="B6267" i="1"/>
  <c r="B6266" i="1"/>
  <c r="B6265" i="1"/>
  <c r="B6264" i="1"/>
  <c r="B6263" i="1"/>
  <c r="B6262" i="1"/>
  <c r="B6261" i="1"/>
  <c r="B6260" i="1"/>
  <c r="B6259" i="1"/>
  <c r="B6258" i="1"/>
  <c r="B6257" i="1"/>
  <c r="B6256" i="1"/>
  <c r="B6255" i="1"/>
  <c r="B6254" i="1"/>
  <c r="B6253" i="1"/>
  <c r="B6252" i="1"/>
  <c r="B6251" i="1"/>
  <c r="B6250" i="1"/>
  <c r="B6249" i="1"/>
  <c r="B6248" i="1"/>
  <c r="B6247" i="1"/>
  <c r="B6246" i="1"/>
  <c r="B6245" i="1"/>
  <c r="B6244" i="1"/>
  <c r="B6243" i="1"/>
  <c r="B6242" i="1"/>
  <c r="B6241" i="1"/>
  <c r="B6240" i="1"/>
  <c r="B6239" i="1"/>
  <c r="B6238" i="1"/>
  <c r="B6237" i="1"/>
  <c r="B6236" i="1"/>
  <c r="B6235" i="1"/>
  <c r="B6234" i="1"/>
  <c r="B6233" i="1"/>
  <c r="B6232" i="1"/>
  <c r="B6231" i="1"/>
  <c r="B6230" i="1"/>
  <c r="B6229" i="1"/>
  <c r="B6228" i="1"/>
  <c r="B6227" i="1"/>
  <c r="B6226" i="1"/>
  <c r="B6225" i="1"/>
  <c r="B6224" i="1"/>
  <c r="B6223" i="1"/>
  <c r="B6222" i="1"/>
  <c r="B6221" i="1"/>
  <c r="B6220" i="1"/>
  <c r="B6219" i="1"/>
  <c r="B6218" i="1"/>
  <c r="B6217" i="1"/>
  <c r="B6216" i="1"/>
  <c r="B6215" i="1"/>
  <c r="B6214" i="1"/>
  <c r="B6213" i="1"/>
  <c r="B6212" i="1"/>
  <c r="B6211" i="1"/>
  <c r="B6210" i="1"/>
  <c r="B6209" i="1"/>
  <c r="B6208" i="1"/>
  <c r="B6207" i="1"/>
  <c r="B6206" i="1"/>
  <c r="B6205" i="1"/>
  <c r="B6204" i="1"/>
  <c r="B6203" i="1"/>
  <c r="B6202" i="1"/>
  <c r="B6201" i="1"/>
  <c r="B6200" i="1"/>
  <c r="B6199" i="1"/>
  <c r="B6198" i="1"/>
  <c r="B6197" i="1"/>
  <c r="B6196" i="1"/>
  <c r="B6195" i="1"/>
  <c r="B6194" i="1"/>
  <c r="B6193" i="1"/>
  <c r="B6192" i="1"/>
  <c r="B6191" i="1"/>
  <c r="B6190" i="1"/>
  <c r="B6189" i="1"/>
  <c r="B6188" i="1"/>
  <c r="B6187" i="1"/>
  <c r="B6186" i="1"/>
  <c r="B6185" i="1"/>
  <c r="B6184" i="1"/>
  <c r="B6183" i="1"/>
  <c r="B6182" i="1"/>
  <c r="B6181" i="1"/>
  <c r="B6180" i="1"/>
  <c r="B6179" i="1"/>
  <c r="B6178" i="1"/>
  <c r="B6177" i="1"/>
  <c r="B6176" i="1"/>
  <c r="B6175" i="1"/>
  <c r="B6174" i="1"/>
  <c r="B6173" i="1"/>
  <c r="B6172" i="1"/>
  <c r="B6171" i="1"/>
  <c r="B6170" i="1"/>
  <c r="B6169" i="1"/>
  <c r="B6168" i="1"/>
  <c r="B6167" i="1"/>
  <c r="B6166" i="1"/>
  <c r="B6165" i="1"/>
  <c r="B6164" i="1"/>
  <c r="B6163" i="1"/>
  <c r="B6162" i="1"/>
  <c r="B6161" i="1"/>
  <c r="B6160" i="1"/>
  <c r="B6159" i="1"/>
  <c r="B6158" i="1"/>
  <c r="B6157" i="1"/>
  <c r="B6156" i="1"/>
  <c r="B6155" i="1"/>
  <c r="B6154" i="1"/>
  <c r="B6153" i="1"/>
  <c r="B6152" i="1"/>
  <c r="B6151" i="1"/>
  <c r="B6150" i="1"/>
  <c r="B6149" i="1"/>
  <c r="B6148" i="1"/>
  <c r="B6147" i="1"/>
  <c r="B6146" i="1"/>
  <c r="B6145" i="1"/>
  <c r="B6144" i="1"/>
  <c r="B6143" i="1"/>
  <c r="B6142" i="1"/>
  <c r="B6141" i="1"/>
  <c r="B6140" i="1"/>
  <c r="B6139" i="1"/>
  <c r="B6138" i="1"/>
  <c r="B6137" i="1"/>
  <c r="B6136" i="1"/>
  <c r="B6135" i="1"/>
  <c r="B6134" i="1"/>
  <c r="B6133" i="1"/>
  <c r="B6132" i="1"/>
  <c r="B6131" i="1"/>
  <c r="B6130" i="1"/>
  <c r="B6129" i="1"/>
  <c r="B6128" i="1"/>
  <c r="B6127" i="1"/>
  <c r="B6126" i="1"/>
  <c r="B6125" i="1"/>
  <c r="B6124" i="1"/>
  <c r="B6123" i="1"/>
  <c r="B6122" i="1"/>
  <c r="B6121" i="1"/>
  <c r="B6120" i="1"/>
  <c r="B6119" i="1"/>
  <c r="B6118" i="1"/>
  <c r="B6117" i="1"/>
  <c r="B6116" i="1"/>
  <c r="B6115" i="1"/>
  <c r="B6114" i="1"/>
  <c r="B6113" i="1"/>
  <c r="B6112" i="1"/>
  <c r="B6111" i="1"/>
  <c r="B6110" i="1"/>
  <c r="B6109" i="1"/>
  <c r="B6108" i="1"/>
  <c r="B6107" i="1"/>
  <c r="B6106" i="1"/>
  <c r="B6105" i="1"/>
  <c r="B6104" i="1"/>
  <c r="B6103" i="1"/>
  <c r="B6102" i="1"/>
  <c r="B6101" i="1"/>
  <c r="B6100" i="1"/>
  <c r="B6099" i="1"/>
  <c r="B6098" i="1"/>
  <c r="B6097" i="1"/>
  <c r="B6096" i="1"/>
  <c r="B6095" i="1"/>
  <c r="B6094" i="1"/>
  <c r="B6093" i="1"/>
  <c r="B6092" i="1"/>
  <c r="B6091" i="1"/>
  <c r="B6090" i="1"/>
  <c r="B6089" i="1"/>
  <c r="B6088" i="1"/>
  <c r="B6087" i="1"/>
  <c r="B6086" i="1"/>
  <c r="B6085" i="1"/>
  <c r="B6084" i="1"/>
  <c r="B6083" i="1"/>
  <c r="B6082" i="1"/>
  <c r="B6081" i="1"/>
  <c r="B6080" i="1"/>
  <c r="B6079" i="1"/>
  <c r="B6078" i="1"/>
  <c r="B6077" i="1"/>
  <c r="B6076" i="1"/>
  <c r="B6075" i="1"/>
  <c r="B6074" i="1"/>
  <c r="B6073" i="1"/>
  <c r="B6072" i="1"/>
  <c r="B6071" i="1"/>
  <c r="B6070" i="1"/>
  <c r="B6069" i="1"/>
  <c r="B6068" i="1"/>
  <c r="B6067" i="1"/>
  <c r="B6066" i="1"/>
  <c r="B6065" i="1"/>
  <c r="B6064" i="1"/>
  <c r="B6063" i="1"/>
  <c r="B6062" i="1"/>
  <c r="B6061" i="1"/>
  <c r="B6060" i="1"/>
  <c r="B6059" i="1"/>
  <c r="B6058" i="1"/>
  <c r="B6057" i="1"/>
  <c r="B6056" i="1"/>
  <c r="B6055" i="1"/>
  <c r="B6054" i="1"/>
  <c r="B6053" i="1"/>
  <c r="B6052" i="1"/>
  <c r="B6051" i="1"/>
  <c r="B6050" i="1"/>
  <c r="B6049" i="1"/>
  <c r="B6048" i="1"/>
  <c r="B6047" i="1"/>
  <c r="B6046" i="1"/>
  <c r="B6045" i="1"/>
  <c r="B6044" i="1"/>
  <c r="B6043" i="1"/>
  <c r="B6042" i="1"/>
  <c r="B6041" i="1"/>
  <c r="B6040" i="1"/>
  <c r="B6039" i="1"/>
  <c r="B6038" i="1"/>
  <c r="B6037" i="1"/>
  <c r="B6036" i="1"/>
  <c r="B6035" i="1"/>
  <c r="B6034" i="1"/>
  <c r="B6033" i="1"/>
  <c r="B6032" i="1"/>
  <c r="B6031" i="1"/>
  <c r="B6030" i="1"/>
  <c r="B6029" i="1"/>
  <c r="B6028" i="1"/>
  <c r="B6027" i="1"/>
  <c r="B6026" i="1"/>
  <c r="B6025" i="1"/>
  <c r="B6024" i="1"/>
  <c r="B6023" i="1"/>
  <c r="B6022" i="1"/>
  <c r="B6021" i="1"/>
  <c r="B6020" i="1"/>
  <c r="B6019" i="1"/>
  <c r="B6018" i="1"/>
  <c r="B6017" i="1"/>
  <c r="B6016" i="1"/>
  <c r="B6015" i="1"/>
  <c r="B6014" i="1"/>
  <c r="B6013" i="1"/>
  <c r="B6012" i="1"/>
  <c r="B6011" i="1"/>
  <c r="B6010" i="1"/>
  <c r="B6009" i="1"/>
  <c r="B6008" i="1"/>
  <c r="B6007" i="1"/>
  <c r="B6006" i="1"/>
  <c r="B6005" i="1"/>
  <c r="B6004" i="1"/>
  <c r="B6003" i="1"/>
  <c r="B6002" i="1"/>
  <c r="B6001" i="1"/>
  <c r="B6000" i="1"/>
  <c r="B5999" i="1"/>
  <c r="B5998" i="1"/>
  <c r="B5997" i="1"/>
  <c r="B5996" i="1"/>
  <c r="B5995" i="1"/>
  <c r="B5994" i="1"/>
  <c r="B5993" i="1"/>
  <c r="B5992" i="1"/>
  <c r="B5991" i="1"/>
  <c r="B5990" i="1"/>
  <c r="B5989" i="1"/>
  <c r="B5988" i="1"/>
  <c r="B5987" i="1"/>
  <c r="B5986" i="1"/>
  <c r="B5985" i="1"/>
  <c r="B5984" i="1"/>
  <c r="B5983" i="1"/>
  <c r="B5982" i="1"/>
  <c r="B5981" i="1"/>
  <c r="B5980" i="1"/>
  <c r="B5979" i="1"/>
  <c r="B5978" i="1"/>
  <c r="B5977" i="1"/>
  <c r="B5976" i="1"/>
  <c r="B5975" i="1"/>
  <c r="B5974" i="1"/>
  <c r="B5973" i="1"/>
  <c r="B5972" i="1"/>
  <c r="B5971" i="1"/>
  <c r="B5970" i="1"/>
  <c r="B5969" i="1"/>
  <c r="B5968" i="1"/>
  <c r="B5967" i="1"/>
  <c r="B5966" i="1"/>
  <c r="B5965" i="1"/>
  <c r="B5964" i="1"/>
  <c r="B5963" i="1"/>
  <c r="B5962" i="1"/>
  <c r="B5961" i="1"/>
  <c r="B5960" i="1"/>
  <c r="B5959" i="1"/>
  <c r="B5958" i="1"/>
  <c r="B5957" i="1"/>
  <c r="B5956" i="1"/>
  <c r="B5955" i="1"/>
  <c r="B5954" i="1"/>
  <c r="B5953" i="1"/>
  <c r="B5952" i="1"/>
  <c r="B5951" i="1"/>
  <c r="B5950" i="1"/>
  <c r="B5949" i="1"/>
  <c r="B5948" i="1"/>
  <c r="B5947" i="1"/>
  <c r="B5946" i="1"/>
  <c r="B5945" i="1"/>
  <c r="B5944" i="1"/>
  <c r="B5943" i="1"/>
  <c r="B5942" i="1"/>
  <c r="B5941" i="1"/>
  <c r="B5940" i="1"/>
  <c r="B5939" i="1"/>
  <c r="B5938" i="1"/>
  <c r="B5937" i="1"/>
  <c r="B5936" i="1"/>
  <c r="B5935" i="1"/>
  <c r="B5934" i="1"/>
  <c r="B5933" i="1"/>
  <c r="B5932" i="1"/>
  <c r="B5931" i="1"/>
  <c r="B5930" i="1"/>
  <c r="B5929" i="1"/>
  <c r="B5928" i="1"/>
  <c r="B5927" i="1"/>
  <c r="B5926" i="1"/>
  <c r="B5925" i="1"/>
  <c r="B5924" i="1"/>
  <c r="B5923" i="1"/>
  <c r="B5922" i="1"/>
  <c r="B5921" i="1"/>
  <c r="B5920" i="1"/>
  <c r="B5919" i="1"/>
  <c r="B5918" i="1"/>
  <c r="B5917" i="1"/>
  <c r="B5916" i="1"/>
  <c r="B5915" i="1"/>
  <c r="B5914" i="1"/>
  <c r="B5913" i="1"/>
  <c r="B5912" i="1"/>
  <c r="B5911" i="1"/>
  <c r="B5910" i="1"/>
  <c r="B5909" i="1"/>
  <c r="B5908" i="1"/>
  <c r="B5907" i="1"/>
  <c r="B5906" i="1"/>
  <c r="B5905" i="1"/>
  <c r="B5904" i="1"/>
  <c r="B5903" i="1"/>
  <c r="B5902" i="1"/>
  <c r="B5901" i="1"/>
  <c r="B5900" i="1"/>
  <c r="B5899" i="1"/>
  <c r="B5898" i="1"/>
  <c r="B5897" i="1"/>
  <c r="B5896" i="1"/>
  <c r="B5895" i="1"/>
  <c r="B5894" i="1"/>
  <c r="B5893" i="1"/>
  <c r="B5892" i="1"/>
  <c r="B5891" i="1"/>
  <c r="B5890" i="1"/>
  <c r="B5889" i="1"/>
  <c r="B5888" i="1"/>
  <c r="B5887" i="1"/>
  <c r="B5886" i="1"/>
  <c r="B5885" i="1"/>
  <c r="B5884" i="1"/>
  <c r="B5883" i="1"/>
  <c r="B5882" i="1"/>
  <c r="B5881" i="1"/>
  <c r="B5880" i="1"/>
  <c r="B5879" i="1"/>
  <c r="B5878" i="1"/>
  <c r="B5877" i="1"/>
  <c r="B5876" i="1"/>
  <c r="B5875" i="1"/>
  <c r="B5874" i="1"/>
  <c r="B5873" i="1"/>
  <c r="B5872" i="1"/>
  <c r="B5871" i="1"/>
  <c r="B5870" i="1"/>
  <c r="B5869" i="1"/>
  <c r="B5868" i="1"/>
  <c r="B5867" i="1"/>
  <c r="B5866" i="1"/>
  <c r="B5865" i="1"/>
  <c r="B5864" i="1"/>
  <c r="B5863" i="1"/>
  <c r="B5862" i="1"/>
  <c r="B5861" i="1"/>
  <c r="B5860" i="1"/>
  <c r="B5859" i="1"/>
  <c r="B5858" i="1"/>
  <c r="B5857" i="1"/>
  <c r="B5856" i="1"/>
  <c r="B5855" i="1"/>
  <c r="B5854" i="1"/>
  <c r="B5853" i="1"/>
  <c r="B5852" i="1"/>
  <c r="B5851" i="1"/>
  <c r="B5850" i="1"/>
  <c r="B5849" i="1"/>
  <c r="B5848" i="1"/>
  <c r="B5847" i="1"/>
  <c r="B5846" i="1"/>
  <c r="B5845" i="1"/>
  <c r="B5844" i="1"/>
  <c r="B5843" i="1"/>
  <c r="B5842" i="1"/>
  <c r="B5841" i="1"/>
  <c r="B5840" i="1"/>
  <c r="B5839" i="1"/>
  <c r="B5838" i="1"/>
  <c r="B5837" i="1"/>
  <c r="B5836" i="1"/>
  <c r="B5835" i="1"/>
  <c r="B5834" i="1"/>
  <c r="B5833" i="1"/>
  <c r="B5832" i="1"/>
  <c r="B5831" i="1"/>
  <c r="B5830" i="1"/>
  <c r="B5829" i="1"/>
  <c r="B5828" i="1"/>
  <c r="B5827" i="1"/>
  <c r="B5826" i="1"/>
  <c r="B5825" i="1"/>
  <c r="B5824" i="1"/>
  <c r="B5823" i="1"/>
  <c r="B5822" i="1"/>
  <c r="B5821" i="1"/>
  <c r="B5820" i="1"/>
  <c r="B5819" i="1"/>
  <c r="B5818" i="1"/>
  <c r="B5817" i="1"/>
  <c r="B5816" i="1"/>
  <c r="B5815" i="1"/>
  <c r="B5814" i="1"/>
  <c r="B5813" i="1"/>
  <c r="B5812" i="1"/>
  <c r="B5811" i="1"/>
  <c r="B5810" i="1"/>
  <c r="B5809" i="1"/>
  <c r="B5808" i="1"/>
  <c r="B5807" i="1"/>
  <c r="B5806" i="1"/>
  <c r="B5805" i="1"/>
  <c r="B5804" i="1"/>
  <c r="B5803" i="1"/>
  <c r="B5802" i="1"/>
  <c r="B5801" i="1"/>
  <c r="B5800" i="1"/>
  <c r="B5799" i="1"/>
  <c r="B5798" i="1"/>
  <c r="B5797" i="1"/>
  <c r="B5796" i="1"/>
  <c r="B5795" i="1"/>
  <c r="B5794" i="1"/>
  <c r="B5793" i="1"/>
  <c r="B5792" i="1"/>
  <c r="B5791" i="1"/>
  <c r="B5790" i="1"/>
  <c r="B5789" i="1"/>
  <c r="B5788" i="1"/>
  <c r="B5787" i="1"/>
  <c r="B5786" i="1"/>
  <c r="B5785" i="1"/>
  <c r="B5784" i="1"/>
  <c r="B5783" i="1"/>
  <c r="B5782" i="1"/>
  <c r="B5781" i="1"/>
  <c r="B5780" i="1"/>
  <c r="B5779" i="1"/>
  <c r="B5778" i="1"/>
  <c r="B5777" i="1"/>
  <c r="B5776" i="1"/>
  <c r="B5775" i="1"/>
  <c r="B5774" i="1"/>
  <c r="B5773" i="1"/>
  <c r="B5772" i="1"/>
  <c r="B5771" i="1"/>
  <c r="B5770" i="1"/>
  <c r="B5769" i="1"/>
  <c r="B5768" i="1"/>
  <c r="B5767" i="1"/>
  <c r="B5766" i="1"/>
  <c r="B5765" i="1"/>
  <c r="B5764" i="1"/>
  <c r="B5763" i="1"/>
  <c r="B5762" i="1"/>
  <c r="B5761" i="1"/>
  <c r="B5760" i="1"/>
  <c r="B5759" i="1"/>
  <c r="B5758" i="1"/>
  <c r="B5757" i="1"/>
  <c r="B5756" i="1"/>
  <c r="B5755" i="1"/>
  <c r="B5754" i="1"/>
  <c r="B5753" i="1"/>
  <c r="B5752" i="1"/>
  <c r="B5751" i="1"/>
  <c r="B5750" i="1"/>
  <c r="B5749" i="1"/>
  <c r="B5748" i="1"/>
  <c r="B5747" i="1"/>
  <c r="B5746" i="1"/>
  <c r="B5745" i="1"/>
  <c r="B5744" i="1"/>
  <c r="B5743" i="1"/>
  <c r="B5742" i="1"/>
  <c r="B5741" i="1"/>
  <c r="B5740" i="1"/>
  <c r="B5739" i="1"/>
  <c r="B5738" i="1"/>
  <c r="B5737" i="1"/>
  <c r="B5736" i="1"/>
  <c r="B5735" i="1"/>
  <c r="B5734" i="1"/>
  <c r="B5733" i="1"/>
  <c r="B5732" i="1"/>
  <c r="B5731" i="1"/>
  <c r="B5730" i="1"/>
  <c r="B5729" i="1"/>
  <c r="B5728" i="1"/>
  <c r="B5727" i="1"/>
  <c r="B5726" i="1"/>
  <c r="B5725" i="1"/>
  <c r="B5724" i="1"/>
  <c r="B5723" i="1"/>
  <c r="B5722" i="1"/>
  <c r="B5721" i="1"/>
  <c r="B5720" i="1"/>
  <c r="B5719" i="1"/>
  <c r="B5718" i="1"/>
  <c r="B5717" i="1"/>
  <c r="B5716" i="1"/>
  <c r="B5715" i="1"/>
  <c r="B5714" i="1"/>
  <c r="B5713" i="1"/>
  <c r="B5712" i="1"/>
  <c r="B5711" i="1"/>
  <c r="B5710" i="1"/>
  <c r="B5709" i="1"/>
  <c r="B5708" i="1"/>
  <c r="B5707" i="1"/>
  <c r="B5706" i="1"/>
  <c r="B5705" i="1"/>
  <c r="B5704" i="1"/>
  <c r="B5703" i="1"/>
  <c r="B5702" i="1"/>
  <c r="B5701" i="1"/>
  <c r="B5700" i="1"/>
  <c r="B5699" i="1"/>
  <c r="B5698" i="1"/>
  <c r="B5697" i="1"/>
  <c r="B5696" i="1"/>
  <c r="B5695" i="1"/>
  <c r="B5694" i="1"/>
  <c r="B5693" i="1"/>
  <c r="B5692" i="1"/>
  <c r="B5691" i="1"/>
  <c r="B5690" i="1"/>
  <c r="B5689" i="1"/>
  <c r="B5688" i="1"/>
  <c r="B5687" i="1"/>
  <c r="B5686" i="1"/>
  <c r="B5685" i="1"/>
  <c r="B5684" i="1"/>
  <c r="B5683" i="1"/>
  <c r="B5682" i="1"/>
  <c r="B5681" i="1"/>
  <c r="B5680" i="1"/>
  <c r="B5679" i="1"/>
  <c r="B5678" i="1"/>
  <c r="B5677" i="1"/>
  <c r="B5676" i="1"/>
  <c r="B5675" i="1"/>
  <c r="B5674" i="1"/>
  <c r="B5673" i="1"/>
  <c r="B5672" i="1"/>
  <c r="B5671" i="1"/>
  <c r="B5670" i="1"/>
  <c r="B5669" i="1"/>
  <c r="B5668" i="1"/>
  <c r="B5667" i="1"/>
  <c r="B5666" i="1"/>
  <c r="B5665" i="1"/>
  <c r="B5664" i="1"/>
  <c r="B5663" i="1"/>
  <c r="B5662" i="1"/>
  <c r="B5661" i="1"/>
  <c r="B5660" i="1"/>
  <c r="B5659" i="1"/>
  <c r="B5658" i="1"/>
  <c r="B5657" i="1"/>
  <c r="B5656" i="1"/>
  <c r="B5655" i="1"/>
  <c r="B5654" i="1"/>
  <c r="B5653" i="1"/>
  <c r="B5652" i="1"/>
  <c r="B5651" i="1"/>
  <c r="B5650" i="1"/>
  <c r="B5649" i="1"/>
  <c r="B5648" i="1"/>
  <c r="B5647" i="1"/>
  <c r="B5646" i="1"/>
  <c r="B5645" i="1"/>
  <c r="B5644" i="1"/>
  <c r="B5643" i="1"/>
  <c r="B5642" i="1"/>
  <c r="B5641" i="1"/>
  <c r="B5640" i="1"/>
  <c r="B5639" i="1"/>
  <c r="B5638" i="1"/>
  <c r="B5637" i="1"/>
  <c r="B5636" i="1"/>
  <c r="B5635" i="1"/>
  <c r="B5634" i="1"/>
  <c r="B5633" i="1"/>
  <c r="B5632" i="1"/>
  <c r="B5631" i="1"/>
  <c r="B5630" i="1"/>
  <c r="B5629" i="1"/>
  <c r="B5628" i="1"/>
  <c r="B5627" i="1"/>
  <c r="B5626" i="1"/>
  <c r="B5625" i="1"/>
  <c r="B5624" i="1"/>
  <c r="B5623" i="1"/>
  <c r="B5622" i="1"/>
  <c r="B5621" i="1"/>
  <c r="B5620" i="1"/>
  <c r="B5619" i="1"/>
  <c r="B5618" i="1"/>
  <c r="B5617" i="1"/>
  <c r="B5616" i="1"/>
  <c r="B5615" i="1"/>
  <c r="B5614" i="1"/>
  <c r="B5613" i="1"/>
  <c r="B5612" i="1"/>
  <c r="B5611" i="1"/>
  <c r="B5610" i="1"/>
  <c r="B5609" i="1"/>
  <c r="B5608" i="1"/>
  <c r="B5607" i="1"/>
  <c r="B5606" i="1"/>
  <c r="B5605" i="1"/>
  <c r="B5604" i="1"/>
  <c r="B5603" i="1"/>
  <c r="B5602" i="1"/>
  <c r="B5601" i="1"/>
  <c r="B5600" i="1"/>
  <c r="B5599" i="1"/>
  <c r="B5598" i="1"/>
  <c r="B5597" i="1"/>
  <c r="B5596" i="1"/>
  <c r="B5595" i="1"/>
  <c r="B5594" i="1"/>
  <c r="B5593" i="1"/>
  <c r="B5592" i="1"/>
  <c r="B5591" i="1"/>
  <c r="B5590" i="1"/>
  <c r="B5589" i="1"/>
  <c r="B5588" i="1"/>
  <c r="B5587" i="1"/>
  <c r="B5586" i="1"/>
  <c r="B5585" i="1"/>
  <c r="B5584" i="1"/>
  <c r="B5583" i="1"/>
  <c r="B5582" i="1"/>
  <c r="B5581" i="1"/>
  <c r="B5580" i="1"/>
  <c r="B5579" i="1"/>
  <c r="B5578" i="1"/>
  <c r="B5577" i="1"/>
  <c r="B5576" i="1"/>
  <c r="B5575" i="1"/>
  <c r="B5574" i="1"/>
  <c r="B5573" i="1"/>
  <c r="B5572" i="1"/>
  <c r="B5571" i="1"/>
  <c r="B5570" i="1"/>
  <c r="B5569" i="1"/>
  <c r="B5568" i="1"/>
  <c r="B5567" i="1"/>
  <c r="B5566" i="1"/>
  <c r="B5565" i="1"/>
  <c r="B5564" i="1"/>
  <c r="B5563" i="1"/>
  <c r="B5562" i="1"/>
  <c r="B5561" i="1"/>
  <c r="B5560" i="1"/>
  <c r="B5559" i="1"/>
  <c r="B5558" i="1"/>
  <c r="B5557" i="1"/>
  <c r="B5556" i="1"/>
  <c r="B5555" i="1"/>
  <c r="B5554" i="1"/>
  <c r="B5553" i="1"/>
  <c r="B5552" i="1"/>
  <c r="B5551" i="1"/>
  <c r="B5550" i="1"/>
  <c r="B5549" i="1"/>
  <c r="B5548" i="1"/>
  <c r="B5547" i="1"/>
  <c r="B5546" i="1"/>
  <c r="B5545" i="1"/>
  <c r="B5544" i="1"/>
  <c r="B5543" i="1"/>
  <c r="B5542" i="1"/>
  <c r="B5541" i="1"/>
  <c r="B5540" i="1"/>
  <c r="B5539" i="1"/>
  <c r="B5538" i="1"/>
  <c r="B5537" i="1"/>
  <c r="B5536" i="1"/>
  <c r="B5535" i="1"/>
  <c r="B5534" i="1"/>
  <c r="B5533" i="1"/>
  <c r="B5532" i="1"/>
  <c r="B5531" i="1"/>
  <c r="B5530" i="1"/>
  <c r="B5529" i="1"/>
  <c r="B5528" i="1"/>
  <c r="B5527" i="1"/>
  <c r="B5526" i="1"/>
  <c r="B5525" i="1"/>
  <c r="B5524" i="1"/>
  <c r="B5523" i="1"/>
  <c r="B5522" i="1"/>
  <c r="B5521" i="1"/>
  <c r="B5520" i="1"/>
  <c r="B5519" i="1"/>
  <c r="B5518" i="1"/>
  <c r="B5517" i="1"/>
  <c r="B5516" i="1"/>
  <c r="B5515" i="1"/>
  <c r="B5514" i="1"/>
  <c r="B5513" i="1"/>
  <c r="B5512" i="1"/>
  <c r="B5511" i="1"/>
  <c r="B5510" i="1"/>
  <c r="B5509" i="1"/>
  <c r="B5508" i="1"/>
  <c r="B5507" i="1"/>
  <c r="B5506" i="1"/>
  <c r="B5505" i="1"/>
  <c r="B5504" i="1"/>
  <c r="B5503" i="1"/>
  <c r="B5502" i="1"/>
  <c r="B5501" i="1"/>
  <c r="B5500" i="1"/>
  <c r="B5499" i="1"/>
  <c r="B5498" i="1"/>
  <c r="B5497" i="1"/>
  <c r="B5496" i="1"/>
  <c r="B5495" i="1"/>
  <c r="B5494" i="1"/>
  <c r="B5493" i="1"/>
  <c r="B5492" i="1"/>
  <c r="B5491" i="1"/>
  <c r="B5490" i="1"/>
  <c r="B5489" i="1"/>
  <c r="B5488" i="1"/>
  <c r="B5487" i="1"/>
  <c r="B5486" i="1"/>
  <c r="B5485" i="1"/>
  <c r="B5484" i="1"/>
  <c r="B5483" i="1"/>
  <c r="B5482" i="1"/>
  <c r="B5481" i="1"/>
  <c r="B5480" i="1"/>
  <c r="B5479" i="1"/>
  <c r="B5478" i="1"/>
  <c r="B5477" i="1"/>
  <c r="B5476" i="1"/>
  <c r="B5475" i="1"/>
  <c r="B5474" i="1"/>
  <c r="B5473" i="1"/>
  <c r="B5472" i="1"/>
  <c r="B5471" i="1"/>
  <c r="B5470" i="1"/>
  <c r="B5469" i="1"/>
  <c r="B5468" i="1"/>
  <c r="B5467" i="1"/>
  <c r="B5466" i="1"/>
  <c r="B5465" i="1"/>
  <c r="B5464" i="1"/>
  <c r="B5463" i="1"/>
  <c r="B5462" i="1"/>
  <c r="B5461" i="1"/>
  <c r="B5460" i="1"/>
  <c r="B5459" i="1"/>
  <c r="B5458" i="1"/>
  <c r="B5457" i="1"/>
  <c r="B5456" i="1"/>
  <c r="B5455" i="1"/>
  <c r="B5454" i="1"/>
  <c r="B5453" i="1"/>
  <c r="B5452" i="1"/>
  <c r="B5451" i="1"/>
  <c r="B5450" i="1"/>
  <c r="B5449" i="1"/>
  <c r="B5448" i="1"/>
  <c r="B5447" i="1"/>
  <c r="B5446" i="1"/>
  <c r="B5445" i="1"/>
  <c r="B5444" i="1"/>
  <c r="B5443" i="1"/>
  <c r="B5442" i="1"/>
  <c r="B5441" i="1"/>
  <c r="B5440" i="1"/>
  <c r="B5439" i="1"/>
  <c r="B5438" i="1"/>
  <c r="B5437" i="1"/>
  <c r="B5436" i="1"/>
  <c r="B5435" i="1"/>
  <c r="B5434" i="1"/>
  <c r="B5433" i="1"/>
  <c r="B5432" i="1"/>
  <c r="B5431" i="1"/>
  <c r="B5430" i="1"/>
  <c r="B5429" i="1"/>
  <c r="B5428" i="1"/>
  <c r="B5427" i="1"/>
  <c r="B5426" i="1"/>
  <c r="B5425" i="1"/>
  <c r="B5424" i="1"/>
  <c r="B5423" i="1"/>
  <c r="B5422" i="1"/>
  <c r="B5421" i="1"/>
  <c r="B5420" i="1"/>
  <c r="B5419" i="1"/>
  <c r="B5418" i="1"/>
  <c r="B5417" i="1"/>
  <c r="B5416" i="1"/>
  <c r="B5415" i="1"/>
  <c r="B5414" i="1"/>
  <c r="B5413" i="1"/>
  <c r="B5412" i="1"/>
  <c r="B5411" i="1"/>
  <c r="B5410" i="1"/>
  <c r="B5409" i="1"/>
  <c r="B5408" i="1"/>
  <c r="B5407" i="1"/>
  <c r="B5406" i="1"/>
  <c r="B5405" i="1"/>
  <c r="B5404" i="1"/>
  <c r="B5403" i="1"/>
  <c r="B5402" i="1"/>
  <c r="B5401" i="1"/>
  <c r="B5400" i="1"/>
  <c r="B5399" i="1"/>
  <c r="B5398" i="1"/>
  <c r="B5397" i="1"/>
  <c r="B5396" i="1"/>
  <c r="B5395" i="1"/>
  <c r="B5394" i="1"/>
  <c r="B5393" i="1"/>
  <c r="B5392" i="1"/>
  <c r="B5391" i="1"/>
  <c r="B5390" i="1"/>
  <c r="B5389" i="1"/>
  <c r="B5388" i="1"/>
  <c r="B5387" i="1"/>
  <c r="B5386" i="1"/>
  <c r="B5385" i="1"/>
  <c r="B5384" i="1"/>
  <c r="B5383" i="1"/>
  <c r="B5382" i="1"/>
  <c r="B5381" i="1"/>
  <c r="B5380" i="1"/>
  <c r="B5379" i="1"/>
  <c r="B5378" i="1"/>
  <c r="B5377" i="1"/>
  <c r="B5376" i="1"/>
  <c r="B5375" i="1"/>
  <c r="B5374" i="1"/>
  <c r="B5373" i="1"/>
  <c r="B5372" i="1"/>
  <c r="B5371" i="1"/>
  <c r="B5370" i="1"/>
  <c r="B5369" i="1"/>
  <c r="B5368" i="1"/>
  <c r="B5367" i="1"/>
  <c r="B5366" i="1"/>
  <c r="B5365" i="1"/>
  <c r="B5364" i="1"/>
  <c r="B5363" i="1"/>
  <c r="B5362" i="1"/>
  <c r="B5361" i="1"/>
  <c r="B5360" i="1"/>
  <c r="B5359" i="1"/>
  <c r="B5358" i="1"/>
  <c r="B5357" i="1"/>
  <c r="B5356" i="1"/>
  <c r="B5355" i="1"/>
  <c r="B5354" i="1"/>
  <c r="B5353" i="1"/>
  <c r="B5352" i="1"/>
  <c r="B5351" i="1"/>
  <c r="B5350" i="1"/>
  <c r="B5349" i="1"/>
  <c r="B5348" i="1"/>
  <c r="B5347" i="1"/>
  <c r="B5346" i="1"/>
  <c r="B5345" i="1"/>
  <c r="B5344" i="1"/>
  <c r="B5343" i="1"/>
  <c r="B5342" i="1"/>
  <c r="B5341" i="1"/>
  <c r="B5340" i="1"/>
  <c r="B5339" i="1"/>
  <c r="B5338" i="1"/>
  <c r="B5337" i="1"/>
  <c r="B5336" i="1"/>
  <c r="B5335" i="1"/>
  <c r="B5334" i="1"/>
  <c r="B5333" i="1"/>
  <c r="B5332" i="1"/>
  <c r="B5331" i="1"/>
  <c r="B5330" i="1"/>
  <c r="B5329" i="1"/>
  <c r="B5328" i="1"/>
  <c r="B5327" i="1"/>
  <c r="B5326" i="1"/>
  <c r="B5325" i="1"/>
  <c r="B5324" i="1"/>
  <c r="B5323" i="1"/>
  <c r="B5322" i="1"/>
  <c r="B5321" i="1"/>
  <c r="B5320" i="1"/>
  <c r="B5319" i="1"/>
  <c r="B5318" i="1"/>
  <c r="B5317" i="1"/>
  <c r="B5316" i="1"/>
  <c r="B5315" i="1"/>
  <c r="B5314" i="1"/>
  <c r="B5313" i="1"/>
  <c r="B5312" i="1"/>
  <c r="B5311" i="1"/>
  <c r="B5310" i="1"/>
  <c r="B5309" i="1"/>
  <c r="B5308" i="1"/>
  <c r="B5307" i="1"/>
  <c r="B5306" i="1"/>
  <c r="B5305" i="1"/>
  <c r="B5304" i="1"/>
  <c r="B5303" i="1"/>
  <c r="B5302" i="1"/>
  <c r="B5301" i="1"/>
  <c r="B5300" i="1"/>
  <c r="B5299" i="1"/>
  <c r="B5298" i="1"/>
  <c r="B5297" i="1"/>
  <c r="B5296" i="1"/>
  <c r="B5295" i="1"/>
  <c r="B5294" i="1"/>
  <c r="B5293" i="1"/>
  <c r="B5292" i="1"/>
  <c r="B5291" i="1"/>
  <c r="B5290" i="1"/>
  <c r="B5289" i="1"/>
  <c r="B5288" i="1"/>
  <c r="B5287" i="1"/>
  <c r="B5286" i="1"/>
  <c r="B5285" i="1"/>
  <c r="B5284" i="1"/>
  <c r="B5283" i="1"/>
  <c r="B5282" i="1"/>
  <c r="B5281" i="1"/>
  <c r="B5280" i="1"/>
  <c r="B5279" i="1"/>
  <c r="B5278" i="1"/>
  <c r="B5277" i="1"/>
  <c r="B5276" i="1"/>
  <c r="B5275" i="1"/>
  <c r="B5274" i="1"/>
  <c r="B5273" i="1"/>
  <c r="B5272" i="1"/>
  <c r="B5271" i="1"/>
  <c r="B5270" i="1"/>
  <c r="B5269" i="1"/>
  <c r="B5268" i="1"/>
  <c r="B5267" i="1"/>
  <c r="B5266" i="1"/>
  <c r="B5265" i="1"/>
  <c r="B5264" i="1"/>
  <c r="B5263" i="1"/>
  <c r="B5262" i="1"/>
  <c r="B5261" i="1"/>
  <c r="B5260" i="1"/>
  <c r="B5259" i="1"/>
  <c r="B5258" i="1"/>
  <c r="B5257" i="1"/>
  <c r="B5256" i="1"/>
  <c r="B5255" i="1"/>
  <c r="B5254" i="1"/>
  <c r="B5253" i="1"/>
  <c r="B5252" i="1"/>
  <c r="B5251" i="1"/>
  <c r="B5250" i="1"/>
  <c r="B5249" i="1"/>
  <c r="B5248" i="1"/>
  <c r="B5247" i="1"/>
  <c r="B5246" i="1"/>
  <c r="B5245" i="1"/>
  <c r="B5244" i="1"/>
  <c r="B5243" i="1"/>
  <c r="B5242" i="1"/>
  <c r="B5241" i="1"/>
  <c r="B5240" i="1"/>
  <c r="B5239" i="1"/>
  <c r="B5238" i="1"/>
  <c r="B5237" i="1"/>
  <c r="B5236" i="1"/>
  <c r="B5235" i="1"/>
  <c r="B5234" i="1"/>
  <c r="B5233" i="1"/>
  <c r="B5232" i="1"/>
  <c r="B5231" i="1"/>
  <c r="B5230" i="1"/>
  <c r="B5229" i="1"/>
  <c r="B5228" i="1"/>
  <c r="B5227" i="1"/>
  <c r="B5226" i="1"/>
  <c r="B5225" i="1"/>
  <c r="B5224" i="1"/>
  <c r="B5223" i="1"/>
  <c r="B5222" i="1"/>
  <c r="B5221" i="1"/>
  <c r="B5220" i="1"/>
  <c r="B5219" i="1"/>
  <c r="B5218" i="1"/>
  <c r="B5217" i="1"/>
  <c r="B5216" i="1"/>
  <c r="B5215" i="1"/>
  <c r="B5214" i="1"/>
  <c r="B5213" i="1"/>
  <c r="B5212" i="1"/>
  <c r="B5211" i="1"/>
  <c r="B5210" i="1"/>
  <c r="B5209" i="1"/>
  <c r="B5208" i="1"/>
  <c r="B5207" i="1"/>
  <c r="B5206" i="1"/>
  <c r="B5205" i="1"/>
  <c r="B5204" i="1"/>
  <c r="B5203" i="1"/>
  <c r="B5202" i="1"/>
  <c r="B5201" i="1"/>
  <c r="B5200" i="1"/>
  <c r="B5199" i="1"/>
  <c r="B5198" i="1"/>
  <c r="B5197" i="1"/>
  <c r="B5196" i="1"/>
  <c r="B5195" i="1"/>
  <c r="B5194" i="1"/>
  <c r="B5193" i="1"/>
  <c r="B5192" i="1"/>
  <c r="B5191" i="1"/>
  <c r="B5190" i="1"/>
  <c r="B5189" i="1"/>
  <c r="B5188" i="1"/>
  <c r="B5187" i="1"/>
  <c r="B5186" i="1"/>
  <c r="B5185" i="1"/>
  <c r="B5184" i="1"/>
  <c r="B5183" i="1"/>
  <c r="B5182" i="1"/>
  <c r="B5181" i="1"/>
  <c r="B5180" i="1"/>
  <c r="B5179" i="1"/>
  <c r="B5178" i="1"/>
  <c r="B5177" i="1"/>
  <c r="B5176" i="1"/>
  <c r="B5175" i="1"/>
  <c r="B5174" i="1"/>
  <c r="B5173" i="1"/>
  <c r="B5172" i="1"/>
  <c r="B5171" i="1"/>
  <c r="B5170" i="1"/>
  <c r="B5169" i="1"/>
  <c r="B5168" i="1"/>
  <c r="B5167" i="1"/>
  <c r="B5166" i="1"/>
  <c r="B5165" i="1"/>
  <c r="B5164" i="1"/>
  <c r="B5163" i="1"/>
  <c r="B5162" i="1"/>
  <c r="B5161" i="1"/>
  <c r="B5160" i="1"/>
  <c r="B5159" i="1"/>
  <c r="B5158" i="1"/>
  <c r="B5157" i="1"/>
  <c r="B5156" i="1"/>
  <c r="B5155" i="1"/>
  <c r="B5154" i="1"/>
  <c r="B5153" i="1"/>
  <c r="B5152" i="1"/>
  <c r="B5151" i="1"/>
  <c r="B5150" i="1"/>
  <c r="B5149" i="1"/>
  <c r="B5148" i="1"/>
  <c r="B5147" i="1"/>
  <c r="B5146" i="1"/>
  <c r="B5145" i="1"/>
  <c r="B5144" i="1"/>
  <c r="B5143" i="1"/>
  <c r="B5142" i="1"/>
  <c r="B5141" i="1"/>
  <c r="B5140" i="1"/>
  <c r="B5139" i="1"/>
  <c r="B5138" i="1"/>
  <c r="B5137" i="1"/>
  <c r="B5136" i="1"/>
  <c r="B5135" i="1"/>
  <c r="B5134" i="1"/>
  <c r="B5133" i="1"/>
  <c r="B5132" i="1"/>
  <c r="B5131" i="1"/>
  <c r="B5130" i="1"/>
  <c r="B5129" i="1"/>
  <c r="B5128" i="1"/>
  <c r="B5127" i="1"/>
  <c r="B5126" i="1"/>
  <c r="B5125" i="1"/>
  <c r="B5124" i="1"/>
  <c r="B5123" i="1"/>
  <c r="B5122" i="1"/>
  <c r="B5121" i="1"/>
  <c r="B5120" i="1"/>
  <c r="B5119" i="1"/>
  <c r="B5118" i="1"/>
  <c r="B5117" i="1"/>
  <c r="B5116" i="1"/>
  <c r="B5115" i="1"/>
  <c r="B5114" i="1"/>
  <c r="B5113" i="1"/>
  <c r="B5112" i="1"/>
  <c r="B5111" i="1"/>
  <c r="B5110" i="1"/>
  <c r="B5109" i="1"/>
  <c r="B5108" i="1"/>
  <c r="B5107" i="1"/>
  <c r="B5106" i="1"/>
  <c r="B5105" i="1"/>
  <c r="B5104" i="1"/>
  <c r="B5103" i="1"/>
  <c r="B5102" i="1"/>
  <c r="B5101" i="1"/>
  <c r="B5100" i="1"/>
  <c r="B5099" i="1"/>
  <c r="B5098" i="1"/>
  <c r="B5097" i="1"/>
  <c r="B5096" i="1"/>
  <c r="B5095" i="1"/>
  <c r="B5094" i="1"/>
  <c r="B5093" i="1"/>
  <c r="B5092" i="1"/>
  <c r="B5091" i="1"/>
  <c r="B5090" i="1"/>
  <c r="B5089" i="1"/>
  <c r="B5088" i="1"/>
  <c r="B5087" i="1"/>
  <c r="B5086" i="1"/>
  <c r="B5085" i="1"/>
  <c r="B5084" i="1"/>
  <c r="B5083" i="1"/>
  <c r="B5082" i="1"/>
  <c r="B5081" i="1"/>
  <c r="B5080" i="1"/>
  <c r="B5079" i="1"/>
  <c r="B5078" i="1"/>
  <c r="B5077" i="1"/>
  <c r="B5076" i="1"/>
  <c r="B5075" i="1"/>
  <c r="B5074" i="1"/>
  <c r="B5073" i="1"/>
  <c r="B5072" i="1"/>
  <c r="B5071" i="1"/>
  <c r="B5070" i="1"/>
  <c r="B5069" i="1"/>
  <c r="B5068" i="1"/>
  <c r="B5067" i="1"/>
  <c r="B5066" i="1"/>
  <c r="B5065" i="1"/>
  <c r="B5064" i="1"/>
  <c r="B5063" i="1"/>
  <c r="B5062" i="1"/>
  <c r="B5061" i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7" i="1"/>
  <c r="B5016" i="1"/>
  <c r="B5015" i="1"/>
  <c r="B5014" i="1"/>
  <c r="B5013" i="1"/>
  <c r="B5012" i="1"/>
  <c r="B5011" i="1"/>
  <c r="B5010" i="1"/>
  <c r="B5009" i="1"/>
  <c r="B5008" i="1"/>
  <c r="B5007" i="1"/>
  <c r="B5006" i="1"/>
  <c r="B5005" i="1"/>
  <c r="B5004" i="1"/>
  <c r="B5003" i="1"/>
  <c r="B5002" i="1"/>
  <c r="B5001" i="1"/>
  <c r="B5000" i="1"/>
  <c r="B4999" i="1"/>
  <c r="B4998" i="1"/>
  <c r="B4997" i="1"/>
  <c r="B4996" i="1"/>
  <c r="B4995" i="1"/>
  <c r="B4994" i="1"/>
  <c r="B4993" i="1"/>
  <c r="B4992" i="1"/>
  <c r="B4991" i="1"/>
  <c r="B4990" i="1"/>
  <c r="B4989" i="1"/>
  <c r="B4988" i="1"/>
  <c r="B4987" i="1"/>
  <c r="B4986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6" i="1"/>
  <c r="B4965" i="1"/>
  <c r="B4964" i="1"/>
  <c r="B4963" i="1"/>
  <c r="B4962" i="1"/>
  <c r="B4961" i="1"/>
  <c r="B4960" i="1"/>
  <c r="B4959" i="1"/>
  <c r="B4958" i="1"/>
  <c r="B4957" i="1"/>
  <c r="B4956" i="1"/>
  <c r="B4955" i="1"/>
  <c r="B4954" i="1"/>
  <c r="B4953" i="1"/>
  <c r="B4952" i="1"/>
  <c r="B4951" i="1"/>
  <c r="B4950" i="1"/>
  <c r="B4949" i="1"/>
  <c r="B4948" i="1"/>
  <c r="B4947" i="1"/>
  <c r="B4946" i="1"/>
  <c r="B4945" i="1"/>
  <c r="B4944" i="1"/>
  <c r="B4943" i="1"/>
  <c r="B4942" i="1"/>
  <c r="B4941" i="1"/>
  <c r="B4940" i="1"/>
  <c r="B4939" i="1"/>
  <c r="B4938" i="1"/>
  <c r="B4937" i="1"/>
  <c r="B4936" i="1"/>
  <c r="B4935" i="1"/>
  <c r="B4934" i="1"/>
  <c r="B4933" i="1"/>
  <c r="B4932" i="1"/>
  <c r="B4931" i="1"/>
  <c r="B4930" i="1"/>
  <c r="B4929" i="1"/>
  <c r="B4928" i="1"/>
  <c r="B4927" i="1"/>
  <c r="B4926" i="1"/>
  <c r="B4925" i="1"/>
  <c r="B4924" i="1"/>
  <c r="B4923" i="1"/>
  <c r="B4922" i="1"/>
  <c r="B4921" i="1"/>
  <c r="B4920" i="1"/>
  <c r="B4919" i="1"/>
  <c r="B4918" i="1"/>
  <c r="B4917" i="1"/>
  <c r="B4916" i="1"/>
  <c r="B4915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2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9" i="1"/>
  <c r="B4878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2" i="1"/>
  <c r="B4861" i="1"/>
  <c r="B4860" i="1"/>
  <c r="B4859" i="1"/>
  <c r="B4858" i="1"/>
  <c r="B4857" i="1"/>
  <c r="B4856" i="1"/>
  <c r="B4855" i="1"/>
  <c r="B4854" i="1"/>
  <c r="B4853" i="1"/>
  <c r="B4852" i="1"/>
  <c r="B4851" i="1"/>
  <c r="B4850" i="1"/>
  <c r="B4849" i="1"/>
  <c r="B4848" i="1"/>
  <c r="B4847" i="1"/>
  <c r="B4846" i="1"/>
  <c r="B4845" i="1"/>
  <c r="B4844" i="1"/>
  <c r="B4843" i="1"/>
  <c r="B4842" i="1"/>
  <c r="B4841" i="1"/>
  <c r="B4840" i="1"/>
  <c r="B4839" i="1"/>
  <c r="B4838" i="1"/>
  <c r="B4837" i="1"/>
  <c r="B4836" i="1"/>
  <c r="B4835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<sst xmlns="http://schemas.openxmlformats.org/spreadsheetml/2006/main" count="2" uniqueCount="2">
  <si>
    <t>DateTime</t>
  </si>
  <si>
    <t>Load_kW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</si>
</sst>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1"/>
  <sheetViews>
    <sheetView tabSelected="1" workbookViewId="0">
      <selection activeCell="D3" sqref="D3"/>
    </sheetView>
  </sheetViews>
  <sheetFormatPr defaultRowHeight="14.4" x14ac:dyDescent="0.3"/>
  <cols>
    <col min="1" max="1" width="18.109375" bestFit="1" customWidth="1"/>
    <col min="2" max="2" width="12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45658</v>
      </c>
      <c r="B2">
        <f>(4528.99893965595*(3/4))*(3/4)</f>
        <v>2547.561903556471</v>
      </c>
    </row>
    <row r="3" spans="1:2" x14ac:dyDescent="0.3">
      <c r="A3" s="2">
        <v>45658.041666666657</v>
      </c>
      <c r="B3">
        <f>4533.5591866716*(3/4)</f>
        <v>3400.1693900036989</v>
      </c>
    </row>
    <row r="4" spans="1:2" x14ac:dyDescent="0.3">
      <c r="A4" s="2">
        <v>45658.083333333343</v>
      </c>
      <c r="B4">
        <f>4113.83862163786*(3/4)</f>
        <v>3085.3789662283989</v>
      </c>
    </row>
    <row r="5" spans="1:2" x14ac:dyDescent="0.3">
      <c r="A5" s="2">
        <v>45658.125</v>
      </c>
      <c r="B5">
        <f>4367.55451439069*(3/4)</f>
        <v>3275.6658857930197</v>
      </c>
    </row>
    <row r="6" spans="1:2" x14ac:dyDescent="0.3">
      <c r="A6" s="2">
        <v>45658.166666666657</v>
      </c>
      <c r="B6">
        <f>3906.96456738329*(3/4)</f>
        <v>2930.2234255374697</v>
      </c>
    </row>
    <row r="7" spans="1:2" x14ac:dyDescent="0.3">
      <c r="A7" s="2">
        <v>45658.208333333343</v>
      </c>
      <c r="B7">
        <f>4395.74309455187*(3/4)</f>
        <v>3296.8073209138993</v>
      </c>
    </row>
    <row r="8" spans="1:2" x14ac:dyDescent="0.3">
      <c r="A8" s="2">
        <v>45658.25</v>
      </c>
      <c r="B8">
        <f>4105.44295618477*(3/4)</f>
        <v>3079.0822171385748</v>
      </c>
    </row>
    <row r="9" spans="1:2" x14ac:dyDescent="0.3">
      <c r="A9" s="2">
        <v>45658.291666666657</v>
      </c>
      <c r="B9">
        <f>4522.29916592455*(3/4)</f>
        <v>3391.7243744434099</v>
      </c>
    </row>
    <row r="10" spans="1:2" x14ac:dyDescent="0.3">
      <c r="A10" s="2">
        <v>45658.333333333343</v>
      </c>
      <c r="B10">
        <f>4800*(3/4)</f>
        <v>3600</v>
      </c>
    </row>
    <row r="11" spans="1:2" x14ac:dyDescent="0.3">
      <c r="A11" s="2">
        <v>45658.375</v>
      </c>
      <c r="B11">
        <f>4505.36070947528*(3/4)</f>
        <v>3379.0205321064577</v>
      </c>
    </row>
    <row r="12" spans="1:2" x14ac:dyDescent="0.3">
      <c r="A12" s="2">
        <v>45658.416666666657</v>
      </c>
      <c r="B12">
        <f>4465.60112127008*(3/4)</f>
        <v>3349.2008409525611</v>
      </c>
    </row>
    <row r="13" spans="1:2" x14ac:dyDescent="0.3">
      <c r="A13" s="2">
        <v>45658.458333333343</v>
      </c>
      <c r="B13">
        <f>4423.96343494926*(3/4)</f>
        <v>3317.9725762119429</v>
      </c>
    </row>
    <row r="14" spans="1:2" x14ac:dyDescent="0.3">
      <c r="A14" s="2">
        <v>45658.5</v>
      </c>
      <c r="B14">
        <f>4179.77716030567*(3/4)</f>
        <v>3134.8328702292538</v>
      </c>
    </row>
    <row r="15" spans="1:2" x14ac:dyDescent="0.3">
      <c r="A15" s="2">
        <v>45658.541666666657</v>
      </c>
      <c r="B15">
        <f>4780.26286691952*(3/4)</f>
        <v>3585.1971501896401</v>
      </c>
    </row>
    <row r="16" spans="1:2" x14ac:dyDescent="0.3">
      <c r="A16" s="2">
        <v>45658.583333333343</v>
      </c>
      <c r="B16">
        <f>4132.05854988353*(3/4)</f>
        <v>3099.0439124126497</v>
      </c>
    </row>
    <row r="17" spans="1:2" x14ac:dyDescent="0.3">
      <c r="A17" s="2">
        <v>45658.625</v>
      </c>
      <c r="B17">
        <f>4367.54114912396*(3/4)</f>
        <v>3275.6558618429667</v>
      </c>
    </row>
    <row r="18" spans="1:2" x14ac:dyDescent="0.3">
      <c r="A18" s="2">
        <v>45658.666666666657</v>
      </c>
      <c r="B18">
        <f>4535.44975862188*(3/4)</f>
        <v>3401.5873189664117</v>
      </c>
    </row>
    <row r="19" spans="1:2" x14ac:dyDescent="0.3">
      <c r="A19" s="2">
        <v>45658.708333333343</v>
      </c>
      <c r="B19">
        <f>4320.74217311831*(3/4)</f>
        <v>3240.5566298387303</v>
      </c>
    </row>
    <row r="20" spans="1:2" x14ac:dyDescent="0.3">
      <c r="A20" s="2">
        <v>45658.75</v>
      </c>
      <c r="B20">
        <f>4248.98041150376*(3/4)</f>
        <v>3186.7353086278226</v>
      </c>
    </row>
    <row r="21" spans="1:2" x14ac:dyDescent="0.3">
      <c r="A21" s="2">
        <v>45658.791666666657</v>
      </c>
      <c r="B21">
        <f>4441.47447847619*(3/4)</f>
        <v>3331.1058588571432</v>
      </c>
    </row>
    <row r="22" spans="1:2" x14ac:dyDescent="0.3">
      <c r="A22" s="2">
        <v>45658.833333333343</v>
      </c>
      <c r="B22">
        <f>4195.98555444958*(3/4)</f>
        <v>3146.9891658371839</v>
      </c>
    </row>
    <row r="23" spans="1:2" x14ac:dyDescent="0.3">
      <c r="A23" s="2">
        <v>45658.875</v>
      </c>
      <c r="B23">
        <f>4429.03389163591*(3/4)</f>
        <v>3321.775418726932</v>
      </c>
    </row>
    <row r="24" spans="1:2" x14ac:dyDescent="0.3">
      <c r="A24" s="2">
        <v>45658.916666666657</v>
      </c>
      <c r="B24">
        <f>4029.81808434617*(3/4)</f>
        <v>3022.3635632596274</v>
      </c>
    </row>
    <row r="25" spans="1:2" x14ac:dyDescent="0.3">
      <c r="A25" s="2">
        <v>45658.958333333343</v>
      </c>
      <c r="B25">
        <f>4618.5226394659*(3/4)</f>
        <v>3463.8919795994252</v>
      </c>
    </row>
    <row r="26" spans="1:2" x14ac:dyDescent="0.3">
      <c r="A26" s="2">
        <v>45659</v>
      </c>
      <c r="B26">
        <f>4512.39555704999*(3/4)</f>
        <v>3384.2966677874902</v>
      </c>
    </row>
    <row r="27" spans="1:2" x14ac:dyDescent="0.3">
      <c r="A27" s="2">
        <v>45659.041666666657</v>
      </c>
      <c r="B27">
        <f>4332.51278607114*(3/4)</f>
        <v>3249.3845895533523</v>
      </c>
    </row>
    <row r="28" spans="1:2" x14ac:dyDescent="0.3">
      <c r="A28" s="2">
        <v>45659.083333333343</v>
      </c>
      <c r="B28">
        <f>4516.63154536803*(3/4)</f>
        <v>3387.4736590260254</v>
      </c>
    </row>
    <row r="29" spans="1:2" x14ac:dyDescent="0.3">
      <c r="A29" s="2">
        <v>45659.125</v>
      </c>
      <c r="B29">
        <f>4286.77102822107*(3/4)</f>
        <v>3215.0782711658053</v>
      </c>
    </row>
    <row r="30" spans="1:2" x14ac:dyDescent="0.3">
      <c r="A30" s="2">
        <v>45659.166666666657</v>
      </c>
      <c r="B30">
        <f>4156.41305522004*(3/4)</f>
        <v>3117.3097914150289</v>
      </c>
    </row>
    <row r="31" spans="1:2" x14ac:dyDescent="0.3">
      <c r="A31" s="2">
        <v>45659.208333333343</v>
      </c>
      <c r="B31">
        <f>4471.89613799582*(3/4)</f>
        <v>3353.9221034968659</v>
      </c>
    </row>
    <row r="32" spans="1:2" x14ac:dyDescent="0.3">
      <c r="A32" s="2">
        <v>45659.25</v>
      </c>
      <c r="B32">
        <f>4094.24711883963*(3/4)</f>
        <v>3070.6853391297254</v>
      </c>
    </row>
    <row r="33" spans="1:2" x14ac:dyDescent="0.3">
      <c r="A33" s="2">
        <v>45659.291666666657</v>
      </c>
      <c r="B33">
        <f>4612.17283625617*(3/4)</f>
        <v>3459.1296271921237</v>
      </c>
    </row>
    <row r="34" spans="1:2" x14ac:dyDescent="0.3">
      <c r="A34" s="2">
        <v>45659.333333333343</v>
      </c>
      <c r="B34">
        <f>4534.7363239294*(3/4)</f>
        <v>3401.0522429470466</v>
      </c>
    </row>
    <row r="35" spans="1:2" x14ac:dyDescent="0.3">
      <c r="A35" s="2">
        <v>45659.375</v>
      </c>
      <c r="B35">
        <f>4542.72819789737*(3/4)</f>
        <v>3407.0461484230264</v>
      </c>
    </row>
    <row r="36" spans="1:2" x14ac:dyDescent="0.3">
      <c r="A36" s="2">
        <v>45659.416666666657</v>
      </c>
      <c r="B36">
        <f>4561.72465088025*(3/4)</f>
        <v>3421.293488160185</v>
      </c>
    </row>
    <row r="37" spans="1:2" x14ac:dyDescent="0.3">
      <c r="A37" s="2">
        <v>45659.458333333343</v>
      </c>
      <c r="B37">
        <f>4319.52495710819*(3/4)</f>
        <v>3239.6437178311407</v>
      </c>
    </row>
    <row r="38" spans="1:2" x14ac:dyDescent="0.3">
      <c r="A38" s="2">
        <v>45659.5</v>
      </c>
      <c r="B38">
        <f>4330.81191599444*(3/4)</f>
        <v>3248.1089369958286</v>
      </c>
    </row>
    <row r="39" spans="1:2" x14ac:dyDescent="0.3">
      <c r="A39" s="2">
        <v>45659.541666666657</v>
      </c>
      <c r="B39">
        <f>4284.40462926137*(3/4)</f>
        <v>3213.3034719460297</v>
      </c>
    </row>
    <row r="40" spans="1:2" x14ac:dyDescent="0.3">
      <c r="A40" s="2">
        <v>45659.583333333343</v>
      </c>
      <c r="B40">
        <f>4142.05586911407*(3/4)</f>
        <v>3106.5419018355501</v>
      </c>
    </row>
    <row r="41" spans="1:2" x14ac:dyDescent="0.3">
      <c r="A41" s="2">
        <v>45659.625</v>
      </c>
      <c r="B41">
        <f>4623.49150091547*(3/4)</f>
        <v>3467.6186256866049</v>
      </c>
    </row>
    <row r="42" spans="1:2" x14ac:dyDescent="0.3">
      <c r="A42" s="2">
        <v>45659.666666666657</v>
      </c>
      <c r="B42">
        <f>4125.37657679572*(3/4)</f>
        <v>3094.0324325967936</v>
      </c>
    </row>
    <row r="43" spans="1:2" x14ac:dyDescent="0.3">
      <c r="A43" s="2">
        <v>45659.708333333343</v>
      </c>
      <c r="B43">
        <f>4502.99912159311*(3/4)</f>
        <v>3377.2493411948317</v>
      </c>
    </row>
    <row r="44" spans="1:2" x14ac:dyDescent="0.3">
      <c r="A44" s="2">
        <v>45659.75</v>
      </c>
      <c r="B44">
        <f>4134.77500810991*(3/4)</f>
        <v>3101.0812560824293</v>
      </c>
    </row>
    <row r="45" spans="1:2" x14ac:dyDescent="0.3">
      <c r="A45" s="2">
        <v>45659.791666666657</v>
      </c>
      <c r="B45">
        <f>4439.34136709335*(3/4)</f>
        <v>3329.506025320009</v>
      </c>
    </row>
    <row r="46" spans="1:2" x14ac:dyDescent="0.3">
      <c r="A46" s="2">
        <v>45659.833333333343</v>
      </c>
      <c r="B46">
        <f>4410.63421852893*(3/4)</f>
        <v>3307.9756638966983</v>
      </c>
    </row>
    <row r="47" spans="1:2" x14ac:dyDescent="0.3">
      <c r="A47" s="2">
        <v>45659.875</v>
      </c>
      <c r="B47">
        <f>4438.99176358381*(3/4)</f>
        <v>3329.2438226878567</v>
      </c>
    </row>
    <row r="48" spans="1:2" x14ac:dyDescent="0.3">
      <c r="A48" s="2">
        <v>45659.916666666657</v>
      </c>
      <c r="B48">
        <f>3985.9469977321*(3/4)</f>
        <v>2989.4602482990745</v>
      </c>
    </row>
    <row r="49" spans="1:2" x14ac:dyDescent="0.3">
      <c r="A49" s="2">
        <v>45659.958333333343</v>
      </c>
      <c r="B49">
        <f>4313.35944992647*(3/4)</f>
        <v>3235.0195874448505</v>
      </c>
    </row>
    <row r="50" spans="1:2" x14ac:dyDescent="0.3">
      <c r="A50" s="2">
        <v>45660</v>
      </c>
      <c r="B50">
        <f>4324.81341210396*(3/4)</f>
        <v>3243.6100590779715</v>
      </c>
    </row>
    <row r="51" spans="1:2" x14ac:dyDescent="0.3">
      <c r="A51" s="2">
        <v>45660.041666666657</v>
      </c>
      <c r="B51">
        <f>4465.19479940659*(3/4)</f>
        <v>3348.8960995549428</v>
      </c>
    </row>
    <row r="52" spans="1:2" x14ac:dyDescent="0.3">
      <c r="A52" s="2">
        <v>45660.083333333343</v>
      </c>
      <c r="B52">
        <f>4346.82401500848*(3/4)</f>
        <v>3260.1180112563602</v>
      </c>
    </row>
    <row r="53" spans="1:2" x14ac:dyDescent="0.3">
      <c r="A53" s="2">
        <v>45660.125</v>
      </c>
      <c r="B53">
        <f>4503.01284001566*(3/4)</f>
        <v>3377.2596300117475</v>
      </c>
    </row>
    <row r="54" spans="1:2" x14ac:dyDescent="0.3">
      <c r="A54" s="2">
        <v>45660.166666666657</v>
      </c>
      <c r="B54">
        <f>4270.85304497752*(3/4)</f>
        <v>3203.1397837331392</v>
      </c>
    </row>
    <row r="55" spans="1:2" x14ac:dyDescent="0.3">
      <c r="A55" s="2">
        <v>45660.208333333343</v>
      </c>
      <c r="B55">
        <f>4226.86847847571*(3/4)</f>
        <v>3170.1513588567805</v>
      </c>
    </row>
    <row r="56" spans="1:2" x14ac:dyDescent="0.3">
      <c r="A56" s="2">
        <v>45660.25</v>
      </c>
      <c r="B56">
        <f>3935.7038546133*(3/4)</f>
        <v>2951.7778909599738</v>
      </c>
    </row>
    <row r="57" spans="1:2" x14ac:dyDescent="0.3">
      <c r="A57" s="2">
        <v>45660.291666666657</v>
      </c>
      <c r="B57">
        <f>4342.31367940339*(3/4)</f>
        <v>3256.7352595525426</v>
      </c>
    </row>
    <row r="58" spans="1:2" x14ac:dyDescent="0.3">
      <c r="A58" s="2">
        <v>45660.333333333343</v>
      </c>
      <c r="B58">
        <f>4439.14472822401*(3/4)</f>
        <v>3329.3585461680095</v>
      </c>
    </row>
    <row r="59" spans="1:2" x14ac:dyDescent="0.3">
      <c r="A59" s="2">
        <v>45660.375</v>
      </c>
      <c r="B59">
        <f>4572.4551639333*(3/4)</f>
        <v>3429.3413729499744</v>
      </c>
    </row>
    <row r="60" spans="1:2" x14ac:dyDescent="0.3">
      <c r="A60" s="2">
        <v>45660.416666666657</v>
      </c>
      <c r="B60">
        <f>4366.39275254256*(3/4)</f>
        <v>3274.7945644069218</v>
      </c>
    </row>
    <row r="61" spans="1:2" x14ac:dyDescent="0.3">
      <c r="A61" s="2">
        <v>45660.458333333343</v>
      </c>
      <c r="B61">
        <f>4549.83168681922*(3/4)</f>
        <v>3412.3737651144111</v>
      </c>
    </row>
    <row r="62" spans="1:2" x14ac:dyDescent="0.3">
      <c r="A62" s="2">
        <v>45660.5</v>
      </c>
      <c r="B62">
        <f>4601.69412175257*(3/4)</f>
        <v>3451.2705913144282</v>
      </c>
    </row>
    <row r="63" spans="1:2" x14ac:dyDescent="0.3">
      <c r="A63" s="2">
        <v>45660.541666666657</v>
      </c>
      <c r="B63">
        <f>4413.10127293881*(3/4)</f>
        <v>3309.8259547041089</v>
      </c>
    </row>
    <row r="64" spans="1:2" x14ac:dyDescent="0.3">
      <c r="A64" s="2">
        <v>45660.583333333343</v>
      </c>
      <c r="B64">
        <f>4185.691516174*(3/4)</f>
        <v>3139.268637130499</v>
      </c>
    </row>
    <row r="65" spans="1:2" x14ac:dyDescent="0.3">
      <c r="A65" s="2">
        <v>45660.625</v>
      </c>
      <c r="B65">
        <f>4469.01276746202*(3/4)</f>
        <v>3351.7595755965112</v>
      </c>
    </row>
    <row r="66" spans="1:2" x14ac:dyDescent="0.3">
      <c r="A66" s="2">
        <v>45660.666666666657</v>
      </c>
      <c r="B66">
        <f>4671.7582847011*(3/4)</f>
        <v>3503.8187135258263</v>
      </c>
    </row>
    <row r="67" spans="1:2" x14ac:dyDescent="0.3">
      <c r="A67" s="2">
        <v>45660.708333333343</v>
      </c>
      <c r="B67">
        <f>4303.52619926359*(3/4)</f>
        <v>3227.6446494476886</v>
      </c>
    </row>
    <row r="68" spans="1:2" x14ac:dyDescent="0.3">
      <c r="A68" s="2">
        <v>45660.75</v>
      </c>
      <c r="B68">
        <f>4121.6763356759*(3/4)</f>
        <v>3091.2572517569261</v>
      </c>
    </row>
    <row r="69" spans="1:2" x14ac:dyDescent="0.3">
      <c r="A69" s="2">
        <v>45660.791666666657</v>
      </c>
      <c r="B69">
        <f>4316.63571802285*(3/4)</f>
        <v>3237.4767885171404</v>
      </c>
    </row>
    <row r="70" spans="1:2" x14ac:dyDescent="0.3">
      <c r="A70" s="2">
        <v>45660.833333333343</v>
      </c>
      <c r="B70">
        <f>4506.73347668054*(3/4)</f>
        <v>3380.0501075104062</v>
      </c>
    </row>
    <row r="71" spans="1:2" x14ac:dyDescent="0.3">
      <c r="A71" s="2">
        <v>45660.875</v>
      </c>
      <c r="B71">
        <f>4689.62054190578*(3/4)</f>
        <v>3517.2154064293354</v>
      </c>
    </row>
    <row r="72" spans="1:2" x14ac:dyDescent="0.3">
      <c r="A72" s="2">
        <v>45660.916666666657</v>
      </c>
      <c r="B72">
        <f>4120.53036421359*(3/4)</f>
        <v>3090.3977731601922</v>
      </c>
    </row>
    <row r="73" spans="1:2" x14ac:dyDescent="0.3">
      <c r="A73" s="2">
        <v>45660.958333333343</v>
      </c>
      <c r="B73">
        <f>4051.76397152467*(3/4)</f>
        <v>3038.822978643504</v>
      </c>
    </row>
    <row r="74" spans="1:2" x14ac:dyDescent="0.3">
      <c r="A74" s="2">
        <v>45661</v>
      </c>
      <c r="B74">
        <f>4321.76679890747*(3/4)</f>
        <v>3241.325099180599</v>
      </c>
    </row>
    <row r="75" spans="1:2" x14ac:dyDescent="0.3">
      <c r="A75" s="2">
        <v>45661.041666666657</v>
      </c>
      <c r="B75">
        <f>4164.80031804183*(3/4)</f>
        <v>3123.6002385313691</v>
      </c>
    </row>
    <row r="76" spans="1:2" x14ac:dyDescent="0.3">
      <c r="A76" s="2">
        <v>45661.083333333343</v>
      </c>
      <c r="B76">
        <f>4239.60432897469*(3/4)</f>
        <v>3179.7032467310182</v>
      </c>
    </row>
    <row r="77" spans="1:2" x14ac:dyDescent="0.3">
      <c r="A77" s="2">
        <v>45661.125</v>
      </c>
      <c r="B77">
        <f>4356.53567264038*(3/4)</f>
        <v>3267.4017544802837</v>
      </c>
    </row>
    <row r="78" spans="1:2" x14ac:dyDescent="0.3">
      <c r="A78" s="2">
        <v>45661.166666666657</v>
      </c>
      <c r="B78">
        <f>4793.94056897627*(3/4)</f>
        <v>3595.4554267322028</v>
      </c>
    </row>
    <row r="79" spans="1:2" x14ac:dyDescent="0.3">
      <c r="A79" s="2">
        <v>45661.208333333343</v>
      </c>
      <c r="B79">
        <f>4373.05550985115*(3/4)</f>
        <v>3279.7916323883655</v>
      </c>
    </row>
    <row r="80" spans="1:2" x14ac:dyDescent="0.3">
      <c r="A80" s="2">
        <v>45661.25</v>
      </c>
      <c r="B80">
        <f>4143.59488100694*(3/4)</f>
        <v>3107.696160755203</v>
      </c>
    </row>
    <row r="81" spans="1:2" x14ac:dyDescent="0.3">
      <c r="A81" s="2">
        <v>45661.291666666657</v>
      </c>
      <c r="B81">
        <f>4718.75685209064*(3/4)</f>
        <v>3539.0676390679773</v>
      </c>
    </row>
    <row r="82" spans="1:2" x14ac:dyDescent="0.3">
      <c r="A82" s="2">
        <v>45661.333333333343</v>
      </c>
      <c r="B82">
        <f>4577.60490524874*(3/4)</f>
        <v>3433.2036789365538</v>
      </c>
    </row>
    <row r="83" spans="1:2" x14ac:dyDescent="0.3">
      <c r="A83" s="2">
        <v>45661.375</v>
      </c>
      <c r="B83">
        <f>4727.72651818469*(3/4)</f>
        <v>3545.7948886385166</v>
      </c>
    </row>
    <row r="84" spans="1:2" x14ac:dyDescent="0.3">
      <c r="A84" s="2">
        <v>45661.416666666657</v>
      </c>
      <c r="B84">
        <f>4601.9469158855*(3/4)</f>
        <v>3451.460186914127</v>
      </c>
    </row>
    <row r="85" spans="1:2" x14ac:dyDescent="0.3">
      <c r="A85" s="2">
        <v>45661.458333333343</v>
      </c>
      <c r="B85">
        <f>4204.43563295262*(3/4)</f>
        <v>3153.3267247144613</v>
      </c>
    </row>
    <row r="86" spans="1:2" x14ac:dyDescent="0.3">
      <c r="A86" s="2">
        <v>45661.5</v>
      </c>
      <c r="B86">
        <f>4493.58870263557*(3/4)</f>
        <v>3370.1915269766764</v>
      </c>
    </row>
    <row r="87" spans="1:2" x14ac:dyDescent="0.3">
      <c r="A87" s="2">
        <v>45661.541666666657</v>
      </c>
      <c r="B87">
        <f>4465.42855786422*(3/4)</f>
        <v>3349.0714183981645</v>
      </c>
    </row>
    <row r="88" spans="1:2" x14ac:dyDescent="0.3">
      <c r="A88" s="2">
        <v>45661.583333333343</v>
      </c>
      <c r="B88">
        <f>4409.36064797064*(3/4)</f>
        <v>3307.0204859779788</v>
      </c>
    </row>
    <row r="89" spans="1:2" x14ac:dyDescent="0.3">
      <c r="A89" s="2">
        <v>45661.625</v>
      </c>
      <c r="B89">
        <f>4277.78762712419*(3/4)</f>
        <v>3208.340720343142</v>
      </c>
    </row>
    <row r="90" spans="1:2" x14ac:dyDescent="0.3">
      <c r="A90" s="2">
        <v>45661.666666666657</v>
      </c>
      <c r="B90">
        <f>4429.68907761806*(3/4)</f>
        <v>3322.2668082135451</v>
      </c>
    </row>
    <row r="91" spans="1:2" x14ac:dyDescent="0.3">
      <c r="A91" s="2">
        <v>45661.708333333343</v>
      </c>
      <c r="B91">
        <f>4621.7898227542*(3/4)</f>
        <v>3466.3423670656493</v>
      </c>
    </row>
    <row r="92" spans="1:2" x14ac:dyDescent="0.3">
      <c r="A92" s="2">
        <v>45661.75</v>
      </c>
      <c r="B92">
        <f>4709.97157461191*(3/4)</f>
        <v>3532.4786809589341</v>
      </c>
    </row>
    <row r="93" spans="1:2" x14ac:dyDescent="0.3">
      <c r="A93" s="2">
        <v>45661.791666666657</v>
      </c>
      <c r="B93">
        <f>3961.39866651578*(3/4)</f>
        <v>2971.0489998868343</v>
      </c>
    </row>
    <row r="94" spans="1:2" x14ac:dyDescent="0.3">
      <c r="A94" s="2">
        <v>45661.833333333343</v>
      </c>
      <c r="B94">
        <f>4800*(3/4)</f>
        <v>3600</v>
      </c>
    </row>
    <row r="95" spans="1:2" x14ac:dyDescent="0.3">
      <c r="A95" s="2">
        <v>45661.875</v>
      </c>
      <c r="B95">
        <f>4368.9746624278*(3/4)</f>
        <v>3276.7309968208519</v>
      </c>
    </row>
    <row r="96" spans="1:2" x14ac:dyDescent="0.3">
      <c r="A96" s="2">
        <v>45661.916666666657</v>
      </c>
      <c r="B96">
        <f>4180.43102934567*(3/4)</f>
        <v>3135.3232720092547</v>
      </c>
    </row>
    <row r="97" spans="1:2" x14ac:dyDescent="0.3">
      <c r="A97" s="2">
        <v>45661.958333333343</v>
      </c>
      <c r="B97">
        <f>4447.46697472336*(3/4)</f>
        <v>3335.600231042521</v>
      </c>
    </row>
    <row r="98" spans="1:2" x14ac:dyDescent="0.3">
      <c r="A98" s="2">
        <v>45662</v>
      </c>
      <c r="B98">
        <f>4238.41599773056*(3/4)</f>
        <v>3178.8119982979233</v>
      </c>
    </row>
    <row r="99" spans="1:2" x14ac:dyDescent="0.3">
      <c r="A99" s="2">
        <v>45662.041666666657</v>
      </c>
      <c r="B99">
        <f>4520.5262966572*(3/4)</f>
        <v>3390.3947224928997</v>
      </c>
    </row>
    <row r="100" spans="1:2" x14ac:dyDescent="0.3">
      <c r="A100" s="2">
        <v>45662.083333333343</v>
      </c>
      <c r="B100">
        <f>4314.98357490157*(3/4)</f>
        <v>3236.2376811761778</v>
      </c>
    </row>
    <row r="101" spans="1:2" x14ac:dyDescent="0.3">
      <c r="A101" s="2">
        <v>45662.125</v>
      </c>
      <c r="B101">
        <f>4226.97910489644*(3/4)</f>
        <v>3170.234328672329</v>
      </c>
    </row>
    <row r="102" spans="1:2" x14ac:dyDescent="0.3">
      <c r="A102" s="2">
        <v>45662.166666666657</v>
      </c>
      <c r="B102">
        <f>4218.97083098946*(3/4)</f>
        <v>3164.2281232420955</v>
      </c>
    </row>
    <row r="103" spans="1:2" x14ac:dyDescent="0.3">
      <c r="A103" s="2">
        <v>45662.208333333343</v>
      </c>
      <c r="B103">
        <f>4562.32349166093*(3/4)</f>
        <v>3421.7426187457008</v>
      </c>
    </row>
    <row r="104" spans="1:2" x14ac:dyDescent="0.3">
      <c r="A104" s="2">
        <v>45662.25</v>
      </c>
      <c r="B104">
        <f>4269.49740816556*(3/4)</f>
        <v>3202.1230561241673</v>
      </c>
    </row>
    <row r="105" spans="1:2" x14ac:dyDescent="0.3">
      <c r="A105" s="2">
        <v>45662.291666666657</v>
      </c>
      <c r="B105">
        <f>4392.20101730009*(3/4)</f>
        <v>3294.1507629750649</v>
      </c>
    </row>
    <row r="106" spans="1:2" x14ac:dyDescent="0.3">
      <c r="A106" s="2">
        <v>45662.333333333343</v>
      </c>
      <c r="B106">
        <f>3434.93376628215*(3/4)</f>
        <v>2576.200324711614</v>
      </c>
    </row>
    <row r="107" spans="1:2" x14ac:dyDescent="0.3">
      <c r="A107" s="2">
        <v>45662.375</v>
      </c>
      <c r="B107">
        <f>3400.98562187613*(3/4)</f>
        <v>2550.7392164070939</v>
      </c>
    </row>
    <row r="108" spans="1:2" x14ac:dyDescent="0.3">
      <c r="A108" s="2">
        <v>45662.416666666657</v>
      </c>
      <c r="B108">
        <f>3661.47451290956*(3/4)</f>
        <v>2746.1058846821738</v>
      </c>
    </row>
    <row r="109" spans="1:2" x14ac:dyDescent="0.3">
      <c r="A109" s="2">
        <v>45662.458333333343</v>
      </c>
      <c r="B109">
        <f>3369.64881927332*(3/4)</f>
        <v>2527.2366144549937</v>
      </c>
    </row>
    <row r="110" spans="1:2" x14ac:dyDescent="0.3">
      <c r="A110" s="2">
        <v>45662.5</v>
      </c>
      <c r="B110">
        <f>3471.65656182644*(3/4)</f>
        <v>2603.7424213698278</v>
      </c>
    </row>
    <row r="111" spans="1:2" x14ac:dyDescent="0.3">
      <c r="A111" s="2">
        <v>45662.541666666657</v>
      </c>
      <c r="B111">
        <f>3671.69452807197*(3/4)</f>
        <v>2753.770896053979</v>
      </c>
    </row>
    <row r="112" spans="1:2" x14ac:dyDescent="0.3">
      <c r="A112" s="2">
        <v>45662.583333333343</v>
      </c>
      <c r="B112">
        <f>3622.91133884135*(3/4)</f>
        <v>2717.1835041310096</v>
      </c>
    </row>
    <row r="113" spans="1:2" x14ac:dyDescent="0.3">
      <c r="A113" s="2">
        <v>45662.625</v>
      </c>
      <c r="B113">
        <f>3625.30575307278*(3/4)</f>
        <v>2718.9793148045819</v>
      </c>
    </row>
    <row r="114" spans="1:2" x14ac:dyDescent="0.3">
      <c r="A114" s="2">
        <v>45662.666666666657</v>
      </c>
      <c r="B114">
        <f>3393.49754583103*(3/4)</f>
        <v>2545.1231593732732</v>
      </c>
    </row>
    <row r="115" spans="1:2" x14ac:dyDescent="0.3">
      <c r="A115" s="2">
        <v>45662.708333333343</v>
      </c>
      <c r="B115">
        <f>4388.17586358539*(3/4)</f>
        <v>3291.1318976890425</v>
      </c>
    </row>
    <row r="116" spans="1:2" x14ac:dyDescent="0.3">
      <c r="A116" s="2">
        <v>45662.75</v>
      </c>
      <c r="B116">
        <f>4530.98955670092*(3/4)</f>
        <v>3398.2421675256883</v>
      </c>
    </row>
    <row r="117" spans="1:2" x14ac:dyDescent="0.3">
      <c r="A117" s="2">
        <v>45662.791666666657</v>
      </c>
      <c r="B117">
        <f>4282.12344158326*(3/4)</f>
        <v>3211.5925811874426</v>
      </c>
    </row>
    <row r="118" spans="1:2" x14ac:dyDescent="0.3">
      <c r="A118" s="2">
        <v>45662.833333333343</v>
      </c>
      <c r="B118">
        <f>4212.19985599298*(3/4)</f>
        <v>3159.149891994738</v>
      </c>
    </row>
    <row r="119" spans="1:2" x14ac:dyDescent="0.3">
      <c r="A119" s="2">
        <v>45662.875</v>
      </c>
      <c r="B119">
        <f>4205.60426937551*(3/4)</f>
        <v>3154.2032020316328</v>
      </c>
    </row>
    <row r="120" spans="1:2" x14ac:dyDescent="0.3">
      <c r="A120" s="2">
        <v>45662.916666666657</v>
      </c>
      <c r="B120">
        <f>3930.61118394884*(3/4)</f>
        <v>2947.9583879616293</v>
      </c>
    </row>
    <row r="121" spans="1:2" x14ac:dyDescent="0.3">
      <c r="A121" s="2">
        <v>45662.958333333343</v>
      </c>
      <c r="B121">
        <f>4460.75714267491*(3/4)</f>
        <v>3345.5678570061837</v>
      </c>
    </row>
    <row r="122" spans="1:2" x14ac:dyDescent="0.3">
      <c r="A122" s="2">
        <v>45663</v>
      </c>
      <c r="B122">
        <f>4371.91014046575*(3/4)</f>
        <v>3278.9326053493141</v>
      </c>
    </row>
    <row r="123" spans="1:2" x14ac:dyDescent="0.3">
      <c r="A123" s="2">
        <v>45663.041666666657</v>
      </c>
      <c r="B123">
        <f>4170.6832367627*(3/4)</f>
        <v>3128.0124275720245</v>
      </c>
    </row>
    <row r="124" spans="1:2" x14ac:dyDescent="0.3">
      <c r="A124" s="2">
        <v>45663.083333333343</v>
      </c>
      <c r="B124">
        <f>4367.57515886012*(3/4)</f>
        <v>3275.6813691450898</v>
      </c>
    </row>
    <row r="125" spans="1:2" x14ac:dyDescent="0.3">
      <c r="A125" s="2">
        <v>45663.125</v>
      </c>
      <c r="B125">
        <f>4253.95397160227*(3/4)</f>
        <v>3190.4654787017016</v>
      </c>
    </row>
    <row r="126" spans="1:2" x14ac:dyDescent="0.3">
      <c r="A126" s="2">
        <v>45663.166666666657</v>
      </c>
      <c r="B126">
        <f>4784.11619926249*(3/4)</f>
        <v>3588.0871494468674</v>
      </c>
    </row>
    <row r="127" spans="1:2" x14ac:dyDescent="0.3">
      <c r="A127" s="2">
        <v>45663.208333333343</v>
      </c>
      <c r="B127">
        <f>4381.1838355117*(3/4)</f>
        <v>3285.8878766337762</v>
      </c>
    </row>
    <row r="128" spans="1:2" x14ac:dyDescent="0.3">
      <c r="A128" s="2">
        <v>45663.25</v>
      </c>
      <c r="B128">
        <f>3927.87681035822*(3/4)</f>
        <v>2945.9076077686641</v>
      </c>
    </row>
    <row r="129" spans="1:2" x14ac:dyDescent="0.3">
      <c r="A129" s="2">
        <v>45663.291666666657</v>
      </c>
      <c r="B129">
        <f>4587.96434561224*(3/4)</f>
        <v>3440.9732592091823</v>
      </c>
    </row>
    <row r="130" spans="1:2" x14ac:dyDescent="0.3">
      <c r="A130" s="2">
        <v>45663.333333333343</v>
      </c>
      <c r="B130">
        <f>4725.10321912522*(3/4)</f>
        <v>3543.8274143439176</v>
      </c>
    </row>
    <row r="131" spans="1:2" x14ac:dyDescent="0.3">
      <c r="A131" s="2">
        <v>45663.375</v>
      </c>
      <c r="B131">
        <f>4592.1191350189*(3/4)</f>
        <v>3444.0893512641787</v>
      </c>
    </row>
    <row r="132" spans="1:2" x14ac:dyDescent="0.3">
      <c r="A132" s="2">
        <v>45663.416666666657</v>
      </c>
      <c r="B132">
        <f>4399.57008472695*(3/4)</f>
        <v>3299.6775635452145</v>
      </c>
    </row>
    <row r="133" spans="1:2" x14ac:dyDescent="0.3">
      <c r="A133" s="2">
        <v>45663.458333333343</v>
      </c>
      <c r="B133">
        <f>4598.54919164106*(3/4)</f>
        <v>3448.9118937307949</v>
      </c>
    </row>
    <row r="134" spans="1:2" x14ac:dyDescent="0.3">
      <c r="A134" s="2">
        <v>45663.5</v>
      </c>
      <c r="B134">
        <f>4800*(3/4)</f>
        <v>3600</v>
      </c>
    </row>
    <row r="135" spans="1:2" x14ac:dyDescent="0.3">
      <c r="A135" s="2">
        <v>45663.541666666657</v>
      </c>
      <c r="B135">
        <f>4664.97874006796*(3/4)</f>
        <v>3498.7340550509671</v>
      </c>
    </row>
    <row r="136" spans="1:2" x14ac:dyDescent="0.3">
      <c r="A136" s="2">
        <v>45663.583333333343</v>
      </c>
      <c r="B136">
        <f>4036.46600584514*(3/4)</f>
        <v>3027.3495043838525</v>
      </c>
    </row>
    <row r="137" spans="1:2" x14ac:dyDescent="0.3">
      <c r="A137" s="2">
        <v>45663.625</v>
      </c>
      <c r="B137">
        <f>4396.01254787572*(3/4)</f>
        <v>3297.0094109067904</v>
      </c>
    </row>
    <row r="138" spans="1:2" x14ac:dyDescent="0.3">
      <c r="A138" s="2">
        <v>45663.666666666657</v>
      </c>
      <c r="B138">
        <f>4730.56565217561*(3/4)</f>
        <v>3547.9242391317111</v>
      </c>
    </row>
    <row r="139" spans="1:2" x14ac:dyDescent="0.3">
      <c r="A139" s="2">
        <v>45663.708333333343</v>
      </c>
      <c r="B139">
        <f>4729.71510535234*(3/4)</f>
        <v>3547.2863290142577</v>
      </c>
    </row>
    <row r="140" spans="1:2" x14ac:dyDescent="0.3">
      <c r="A140" s="2">
        <v>45663.75</v>
      </c>
      <c r="B140">
        <f>4530.39698233808*(3/4)</f>
        <v>3397.7977367535609</v>
      </c>
    </row>
    <row r="141" spans="1:2" x14ac:dyDescent="0.3">
      <c r="A141" s="2">
        <v>45663.791666666657</v>
      </c>
      <c r="B141">
        <f>4444.5697350444*(3/4)</f>
        <v>3333.4273012832982</v>
      </c>
    </row>
    <row r="142" spans="1:2" x14ac:dyDescent="0.3">
      <c r="A142" s="2">
        <v>45663.833333333343</v>
      </c>
      <c r="B142">
        <f>4753.12332778478*(3/4)</f>
        <v>3564.8424958385881</v>
      </c>
    </row>
    <row r="143" spans="1:2" x14ac:dyDescent="0.3">
      <c r="A143" s="2">
        <v>45663.875</v>
      </c>
      <c r="B143">
        <f>4632.36226161737*(3/4)</f>
        <v>3474.2716962130289</v>
      </c>
    </row>
    <row r="144" spans="1:2" x14ac:dyDescent="0.3">
      <c r="A144" s="2">
        <v>45663.916666666657</v>
      </c>
      <c r="B144">
        <f>3959.39109933651*(3/4)</f>
        <v>2969.5433245023846</v>
      </c>
    </row>
    <row r="145" spans="1:2" x14ac:dyDescent="0.3">
      <c r="A145" s="2">
        <v>45663.958333333343</v>
      </c>
      <c r="B145">
        <f>4395.61490020224*(3/4)</f>
        <v>3296.7111751516804</v>
      </c>
    </row>
    <row r="146" spans="1:2" x14ac:dyDescent="0.3">
      <c r="A146" s="2">
        <v>45664</v>
      </c>
      <c r="B146">
        <f>4496.5963411006*(3/4)</f>
        <v>3372.4472558254474</v>
      </c>
    </row>
    <row r="147" spans="1:2" x14ac:dyDescent="0.3">
      <c r="A147" s="2">
        <v>45664.041666666657</v>
      </c>
      <c r="B147">
        <f>4073.15372978079*(3/4)</f>
        <v>3054.8652973355943</v>
      </c>
    </row>
    <row r="148" spans="1:2" x14ac:dyDescent="0.3">
      <c r="A148" s="2">
        <v>45664.083333333343</v>
      </c>
      <c r="B148">
        <f>4427.29859546961*(3/4)</f>
        <v>3320.4739466022065</v>
      </c>
    </row>
    <row r="149" spans="1:2" x14ac:dyDescent="0.3">
      <c r="A149" s="2">
        <v>45664.125</v>
      </c>
      <c r="B149">
        <f>4304.38907306089*(3/4)</f>
        <v>3228.2918047956673</v>
      </c>
    </row>
    <row r="150" spans="1:2" x14ac:dyDescent="0.3">
      <c r="A150" s="2">
        <v>45664.166666666657</v>
      </c>
      <c r="B150">
        <f>4187.84498475807*(3/4)</f>
        <v>3140.8837385685501</v>
      </c>
    </row>
    <row r="151" spans="1:2" x14ac:dyDescent="0.3">
      <c r="A151" s="2">
        <v>45664.208333333343</v>
      </c>
      <c r="B151">
        <f>4275.95915061015*(3/4)</f>
        <v>3206.9693629576141</v>
      </c>
    </row>
    <row r="152" spans="1:2" x14ac:dyDescent="0.3">
      <c r="A152" s="2">
        <v>45664.25</v>
      </c>
      <c r="B152">
        <f>3962.38173619498*(3/4)</f>
        <v>2971.7863021462317</v>
      </c>
    </row>
    <row r="153" spans="1:2" x14ac:dyDescent="0.3">
      <c r="A153" s="2">
        <v>45664.291666666657</v>
      </c>
      <c r="B153">
        <f>4556.90165603188*(3/4)</f>
        <v>3417.676242023907</v>
      </c>
    </row>
    <row r="154" spans="1:2" x14ac:dyDescent="0.3">
      <c r="A154" s="2">
        <v>45664.333333333343</v>
      </c>
      <c r="B154">
        <f>4439.3099485811*(3/4)</f>
        <v>3329.4824614358231</v>
      </c>
    </row>
    <row r="155" spans="1:2" x14ac:dyDescent="0.3">
      <c r="A155" s="2">
        <v>45664.375</v>
      </c>
      <c r="B155">
        <f>4517.50872554899*(3/4)</f>
        <v>3388.1315441617453</v>
      </c>
    </row>
    <row r="156" spans="1:2" x14ac:dyDescent="0.3">
      <c r="A156" s="2">
        <v>45664.416666666657</v>
      </c>
      <c r="B156">
        <f>4383.30499959005*(3/4)</f>
        <v>3287.4787496925396</v>
      </c>
    </row>
    <row r="157" spans="1:2" x14ac:dyDescent="0.3">
      <c r="A157" s="2">
        <v>45664.458333333343</v>
      </c>
      <c r="B157">
        <f>4375.79265275178*(3/4)</f>
        <v>3281.8444895638386</v>
      </c>
    </row>
    <row r="158" spans="1:2" x14ac:dyDescent="0.3">
      <c r="A158" s="2">
        <v>45664.5</v>
      </c>
      <c r="B158">
        <f>4800*(3/4)</f>
        <v>3600</v>
      </c>
    </row>
    <row r="159" spans="1:2" x14ac:dyDescent="0.3">
      <c r="A159" s="2">
        <v>45664.541666666657</v>
      </c>
      <c r="B159">
        <f>4618.40244775872*(3/4)</f>
        <v>3463.8018358190402</v>
      </c>
    </row>
    <row r="160" spans="1:2" x14ac:dyDescent="0.3">
      <c r="A160" s="2">
        <v>45664.583333333343</v>
      </c>
      <c r="B160">
        <f>4248.29359591652*(3/4)</f>
        <v>3186.2201969373928</v>
      </c>
    </row>
    <row r="161" spans="1:2" x14ac:dyDescent="0.3">
      <c r="A161" s="2">
        <v>45664.625</v>
      </c>
      <c r="B161">
        <f>4302.57336809196*(3/4)</f>
        <v>3226.9300260689715</v>
      </c>
    </row>
    <row r="162" spans="1:2" x14ac:dyDescent="0.3">
      <c r="A162" s="2">
        <v>45664.666666666657</v>
      </c>
      <c r="B162">
        <f>4309.23160891732*(3/4)</f>
        <v>3231.9237066879887</v>
      </c>
    </row>
    <row r="163" spans="1:2" x14ac:dyDescent="0.3">
      <c r="A163" s="2">
        <v>45664.708333333343</v>
      </c>
      <c r="B163">
        <f>4493.87720557601*(3/4)</f>
        <v>3370.4079041820082</v>
      </c>
    </row>
    <row r="164" spans="1:2" x14ac:dyDescent="0.3">
      <c r="A164" s="2">
        <v>45664.75</v>
      </c>
      <c r="B164">
        <f>4362.33982702269*(3/4)</f>
        <v>3271.7548702670147</v>
      </c>
    </row>
    <row r="165" spans="1:2" x14ac:dyDescent="0.3">
      <c r="A165" s="2">
        <v>45664.791666666657</v>
      </c>
      <c r="B165">
        <f>4173.77913324012*(3/4)</f>
        <v>3130.3343499300872</v>
      </c>
    </row>
    <row r="166" spans="1:2" x14ac:dyDescent="0.3">
      <c r="A166" s="2">
        <v>45664.833333333343</v>
      </c>
      <c r="B166">
        <f>4644.32619101814*(3/4)</f>
        <v>3483.244643263607</v>
      </c>
    </row>
    <row r="167" spans="1:2" x14ac:dyDescent="0.3">
      <c r="A167" s="2">
        <v>45664.875</v>
      </c>
      <c r="B167">
        <f>4486.03228193062*(3/4)</f>
        <v>3364.5242114479638</v>
      </c>
    </row>
    <row r="168" spans="1:2" x14ac:dyDescent="0.3">
      <c r="A168" s="2">
        <v>45664.916666666657</v>
      </c>
      <c r="B168">
        <f>4313.75258065629*(3/4)</f>
        <v>3235.314435492216</v>
      </c>
    </row>
    <row r="169" spans="1:2" x14ac:dyDescent="0.3">
      <c r="A169" s="2">
        <v>45664.958333333343</v>
      </c>
      <c r="B169">
        <f>4203.16226922061*(3/4)</f>
        <v>3152.3717019154597</v>
      </c>
    </row>
    <row r="170" spans="1:2" x14ac:dyDescent="0.3">
      <c r="A170" s="2">
        <v>45665</v>
      </c>
      <c r="B170">
        <f>4298.73290669029*(3/4)</f>
        <v>3224.0496800177184</v>
      </c>
    </row>
    <row r="171" spans="1:2" x14ac:dyDescent="0.3">
      <c r="A171" s="2">
        <v>45665.041666666657</v>
      </c>
      <c r="B171">
        <f>4247.85038198719*(3/4)</f>
        <v>3185.8877864903952</v>
      </c>
    </row>
    <row r="172" spans="1:2" x14ac:dyDescent="0.3">
      <c r="A172" s="2">
        <v>45665.083333333343</v>
      </c>
      <c r="B172">
        <f>4153.82858215989*(3/4)</f>
        <v>3115.3714366199197</v>
      </c>
    </row>
    <row r="173" spans="1:2" x14ac:dyDescent="0.3">
      <c r="A173" s="2">
        <v>45665.125</v>
      </c>
      <c r="B173">
        <f>4340.40588316302*(3/4)</f>
        <v>3255.3044123722643</v>
      </c>
    </row>
    <row r="174" spans="1:2" x14ac:dyDescent="0.3">
      <c r="A174" s="2">
        <v>45665.166666666657</v>
      </c>
      <c r="B174">
        <f>4460.27490908718*(3/4)</f>
        <v>3345.2061818153866</v>
      </c>
    </row>
    <row r="175" spans="1:2" x14ac:dyDescent="0.3">
      <c r="A175" s="2">
        <v>45665.208333333343</v>
      </c>
      <c r="B175">
        <f>4452.56016668285*(3/4)</f>
        <v>3339.4201250121387</v>
      </c>
    </row>
    <row r="176" spans="1:2" x14ac:dyDescent="0.3">
      <c r="A176" s="2">
        <v>45665.25</v>
      </c>
      <c r="B176">
        <f>4021.00161554695*(3/4)</f>
        <v>3015.7512116602161</v>
      </c>
    </row>
    <row r="177" spans="1:2" x14ac:dyDescent="0.3">
      <c r="A177" s="2">
        <v>45665.291666666657</v>
      </c>
      <c r="B177">
        <f>4644.57505910062*(3/4)</f>
        <v>3483.4312943254677</v>
      </c>
    </row>
    <row r="178" spans="1:2" x14ac:dyDescent="0.3">
      <c r="A178" s="2">
        <v>45665.333333333343</v>
      </c>
      <c r="B178">
        <f>4781.70275232017*(3/4)</f>
        <v>3586.2770642401274</v>
      </c>
    </row>
    <row r="179" spans="1:2" x14ac:dyDescent="0.3">
      <c r="A179" s="2">
        <v>45665.375</v>
      </c>
      <c r="B179">
        <f>4310.78951535288*(3/4)</f>
        <v>3233.0921365146623</v>
      </c>
    </row>
    <row r="180" spans="1:2" x14ac:dyDescent="0.3">
      <c r="A180" s="2">
        <v>45665.416666666657</v>
      </c>
      <c r="B180">
        <f>4437.3405112401*(3/4)</f>
        <v>3328.0053834300752</v>
      </c>
    </row>
    <row r="181" spans="1:2" x14ac:dyDescent="0.3">
      <c r="A181" s="2">
        <v>45665.458333333343</v>
      </c>
      <c r="B181">
        <f>4582.42030694135*(3/4)</f>
        <v>3436.815230206013</v>
      </c>
    </row>
    <row r="182" spans="1:2" x14ac:dyDescent="0.3">
      <c r="A182" s="2">
        <v>45665.5</v>
      </c>
      <c r="B182">
        <f>4764.93596493538*(3/4)</f>
        <v>3573.7019737015326</v>
      </c>
    </row>
    <row r="183" spans="1:2" x14ac:dyDescent="0.3">
      <c r="A183" s="2">
        <v>45665.541666666657</v>
      </c>
      <c r="B183">
        <f>4485.81380698974*(3/4)</f>
        <v>3364.3603552423037</v>
      </c>
    </row>
    <row r="184" spans="1:2" x14ac:dyDescent="0.3">
      <c r="A184" s="2">
        <v>45665.583333333343</v>
      </c>
      <c r="B184">
        <f>4235.23512340424*(3/4)</f>
        <v>3176.4263425531817</v>
      </c>
    </row>
    <row r="185" spans="1:2" x14ac:dyDescent="0.3">
      <c r="A185" s="2">
        <v>45665.625</v>
      </c>
      <c r="B185">
        <f>4685.44721419305*(3/4)</f>
        <v>3514.0854106447878</v>
      </c>
    </row>
    <row r="186" spans="1:2" x14ac:dyDescent="0.3">
      <c r="A186" s="2">
        <v>45665.666666666657</v>
      </c>
      <c r="B186">
        <f>4400.15285510387*(3/4)</f>
        <v>3300.1146413279021</v>
      </c>
    </row>
    <row r="187" spans="1:2" x14ac:dyDescent="0.3">
      <c r="A187" s="2">
        <v>45665.708333333343</v>
      </c>
      <c r="B187">
        <f>4705.19115897786*(3/4)</f>
        <v>3528.8933692333985</v>
      </c>
    </row>
    <row r="188" spans="1:2" x14ac:dyDescent="0.3">
      <c r="A188" s="2">
        <v>45665.75</v>
      </c>
      <c r="B188">
        <f>4601.42052531301*(3/4)</f>
        <v>3451.0653939847589</v>
      </c>
    </row>
    <row r="189" spans="1:2" x14ac:dyDescent="0.3">
      <c r="A189" s="2">
        <v>45665.791666666657</v>
      </c>
      <c r="B189">
        <f>4541.75953538236*(3/4)</f>
        <v>3406.3196515367713</v>
      </c>
    </row>
    <row r="190" spans="1:2" x14ac:dyDescent="0.3">
      <c r="A190" s="2">
        <v>45665.833333333343</v>
      </c>
      <c r="B190">
        <f>4655.89117739896*(3/4)</f>
        <v>3491.9183830492184</v>
      </c>
    </row>
    <row r="191" spans="1:2" x14ac:dyDescent="0.3">
      <c r="A191" s="2">
        <v>45665.875</v>
      </c>
      <c r="B191">
        <f>4244.21149133832*(3/4)</f>
        <v>3183.1586185037377</v>
      </c>
    </row>
    <row r="192" spans="1:2" x14ac:dyDescent="0.3">
      <c r="A192" s="2">
        <v>45665.916666666657</v>
      </c>
      <c r="B192">
        <f>4121.79538004816*(3/4)</f>
        <v>3091.3465350361234</v>
      </c>
    </row>
    <row r="193" spans="1:2" x14ac:dyDescent="0.3">
      <c r="A193" s="2">
        <v>45665.958333333343</v>
      </c>
      <c r="B193">
        <f>4005.0031525424*(3/4)</f>
        <v>3003.7523644067983</v>
      </c>
    </row>
    <row r="194" spans="1:2" x14ac:dyDescent="0.3">
      <c r="A194" s="2">
        <v>45666</v>
      </c>
      <c r="B194">
        <f>4183.82887782546*(3/4)</f>
        <v>3137.8716583690948</v>
      </c>
    </row>
    <row r="195" spans="1:2" x14ac:dyDescent="0.3">
      <c r="A195" s="2">
        <v>45666.041666666657</v>
      </c>
      <c r="B195">
        <f>4168.07706927023*(3/4)</f>
        <v>3126.057801952672</v>
      </c>
    </row>
    <row r="196" spans="1:2" x14ac:dyDescent="0.3">
      <c r="A196" s="2">
        <v>45666.083333333343</v>
      </c>
      <c r="B196">
        <f>4231.79833244734*(3/4)</f>
        <v>3173.8487493355015</v>
      </c>
    </row>
    <row r="197" spans="1:2" x14ac:dyDescent="0.3">
      <c r="A197" s="2">
        <v>45666.125</v>
      </c>
      <c r="B197">
        <f>4422.18163209077*(3/4)</f>
        <v>3316.6362240680755</v>
      </c>
    </row>
    <row r="198" spans="1:2" x14ac:dyDescent="0.3">
      <c r="A198" s="2">
        <v>45666.166666666657</v>
      </c>
      <c r="B198">
        <f>4250.40563892168*(3/4)</f>
        <v>3187.8042291912602</v>
      </c>
    </row>
    <row r="199" spans="1:2" x14ac:dyDescent="0.3">
      <c r="A199" s="2">
        <v>45666.208333333343</v>
      </c>
      <c r="B199">
        <f>4154.41036365402*(3/4)</f>
        <v>3115.8077727405134</v>
      </c>
    </row>
    <row r="200" spans="1:2" x14ac:dyDescent="0.3">
      <c r="A200" s="2">
        <v>45666.25</v>
      </c>
      <c r="B200">
        <f>4083.54351925305*(3/4)</f>
        <v>3062.6576394397912</v>
      </c>
    </row>
    <row r="201" spans="1:2" x14ac:dyDescent="0.3">
      <c r="A201" s="2">
        <v>45666.291666666657</v>
      </c>
      <c r="B201">
        <f>4413.74573062745*(3/4)</f>
        <v>3310.3092979705907</v>
      </c>
    </row>
    <row r="202" spans="1:2" x14ac:dyDescent="0.3">
      <c r="A202" s="2">
        <v>45666.333333333343</v>
      </c>
      <c r="B202">
        <f>4579.95621727327*(3/4)</f>
        <v>3434.9671629549557</v>
      </c>
    </row>
    <row r="203" spans="1:2" x14ac:dyDescent="0.3">
      <c r="A203" s="2">
        <v>45666.375</v>
      </c>
      <c r="B203">
        <f>4325.14516558537*(3/4)</f>
        <v>3243.8588741890289</v>
      </c>
    </row>
    <row r="204" spans="1:2" x14ac:dyDescent="0.3">
      <c r="A204" s="2">
        <v>45666.416666666657</v>
      </c>
      <c r="B204">
        <f>4216.94162365372*(3/4)</f>
        <v>3162.7062177402868</v>
      </c>
    </row>
    <row r="205" spans="1:2" x14ac:dyDescent="0.3">
      <c r="A205" s="2">
        <v>45666.458333333343</v>
      </c>
      <c r="B205">
        <f>4217.83843718498*(3/4)</f>
        <v>3163.3788278887328</v>
      </c>
    </row>
    <row r="206" spans="1:2" x14ac:dyDescent="0.3">
      <c r="A206" s="2">
        <v>45666.5</v>
      </c>
      <c r="B206">
        <f>4638.42251841737*(3/4)</f>
        <v>3478.816888813029</v>
      </c>
    </row>
    <row r="207" spans="1:2" x14ac:dyDescent="0.3">
      <c r="A207" s="2">
        <v>45666.541666666657</v>
      </c>
      <c r="B207">
        <f>4390.66527009674*(3/4)</f>
        <v>3292.9989525725532</v>
      </c>
    </row>
    <row r="208" spans="1:2" x14ac:dyDescent="0.3">
      <c r="A208" s="2">
        <v>45666.583333333343</v>
      </c>
      <c r="B208">
        <f>4275.9793863228*(3/4)</f>
        <v>3206.9845397421022</v>
      </c>
    </row>
    <row r="209" spans="1:2" x14ac:dyDescent="0.3">
      <c r="A209" s="2">
        <v>45666.625</v>
      </c>
      <c r="B209">
        <f>4645.47508101989*(3/4)</f>
        <v>3484.1063107649206</v>
      </c>
    </row>
    <row r="210" spans="1:2" x14ac:dyDescent="0.3">
      <c r="A210" s="2">
        <v>45666.666666666657</v>
      </c>
      <c r="B210">
        <f>4479.4319010918*(3/4)</f>
        <v>3359.5739258188464</v>
      </c>
    </row>
    <row r="211" spans="1:2" x14ac:dyDescent="0.3">
      <c r="A211" s="2">
        <v>45666.708333333343</v>
      </c>
      <c r="B211">
        <f>4357.91802527203*(3/4)</f>
        <v>3268.4385189540253</v>
      </c>
    </row>
    <row r="212" spans="1:2" x14ac:dyDescent="0.3">
      <c r="A212" s="2">
        <v>45666.75</v>
      </c>
      <c r="B212">
        <f>4378.85223199627*(3/4)</f>
        <v>3284.1391739971996</v>
      </c>
    </row>
    <row r="213" spans="1:2" x14ac:dyDescent="0.3">
      <c r="A213" s="2">
        <v>45666.791666666657</v>
      </c>
      <c r="B213">
        <f>4328.49177784161*(3/4)</f>
        <v>3246.3688333812079</v>
      </c>
    </row>
    <row r="214" spans="1:2" x14ac:dyDescent="0.3">
      <c r="A214" s="2">
        <v>45666.833333333343</v>
      </c>
      <c r="B214">
        <f>4237.78752910487*(3/4)</f>
        <v>3178.3406468286503</v>
      </c>
    </row>
    <row r="215" spans="1:2" x14ac:dyDescent="0.3">
      <c r="A215" s="2">
        <v>45666.875</v>
      </c>
      <c r="B215">
        <f>4478.96430150096*(3/4)</f>
        <v>3359.2232261257163</v>
      </c>
    </row>
    <row r="216" spans="1:2" x14ac:dyDescent="0.3">
      <c r="A216" s="2">
        <v>45666.916666666657</v>
      </c>
      <c r="B216">
        <f>4224.52168101268*(3/4)</f>
        <v>3168.3912607595094</v>
      </c>
    </row>
    <row r="217" spans="1:2" x14ac:dyDescent="0.3">
      <c r="A217" s="2">
        <v>45666.958333333343</v>
      </c>
      <c r="B217">
        <f>4124.2706094456*(3/4)</f>
        <v>3093.2029570841996</v>
      </c>
    </row>
    <row r="218" spans="1:2" x14ac:dyDescent="0.3">
      <c r="A218" s="2">
        <v>45667</v>
      </c>
      <c r="B218">
        <f>4085.96492454629*(3/4)</f>
        <v>3064.4736934097195</v>
      </c>
    </row>
    <row r="219" spans="1:2" x14ac:dyDescent="0.3">
      <c r="A219" s="2">
        <v>45667.041666666657</v>
      </c>
      <c r="B219">
        <f>4342.30142124966*(3/4)</f>
        <v>3256.7260659372432</v>
      </c>
    </row>
    <row r="220" spans="1:2" x14ac:dyDescent="0.3">
      <c r="A220" s="2">
        <v>45667.083333333343</v>
      </c>
      <c r="B220">
        <f>4233.57618722089*(3/4)</f>
        <v>3175.1821404156658</v>
      </c>
    </row>
    <row r="221" spans="1:2" x14ac:dyDescent="0.3">
      <c r="A221" s="2">
        <v>45667.125</v>
      </c>
      <c r="B221">
        <f>4151.16439790537*(3/4)</f>
        <v>3113.3732984290291</v>
      </c>
    </row>
    <row r="222" spans="1:2" x14ac:dyDescent="0.3">
      <c r="A222" s="2">
        <v>45667.166666666657</v>
      </c>
      <c r="B222">
        <f>4364.83892401009*(3/4)</f>
        <v>3273.6291930075704</v>
      </c>
    </row>
    <row r="223" spans="1:2" x14ac:dyDescent="0.3">
      <c r="A223" s="2">
        <v>45667.208333333343</v>
      </c>
      <c r="B223">
        <f>4187.03427857417*(3/4)</f>
        <v>3140.2757089306306</v>
      </c>
    </row>
    <row r="224" spans="1:2" x14ac:dyDescent="0.3">
      <c r="A224" s="2">
        <v>45667.25</v>
      </c>
      <c r="B224">
        <f>4256.25506323757*(3/4)</f>
        <v>3192.1912974281768</v>
      </c>
    </row>
    <row r="225" spans="1:2" x14ac:dyDescent="0.3">
      <c r="A225" s="2">
        <v>45667.291666666657</v>
      </c>
      <c r="B225">
        <f>4520.768033692*(3/4)</f>
        <v>3390.5760252689988</v>
      </c>
    </row>
    <row r="226" spans="1:2" x14ac:dyDescent="0.3">
      <c r="A226" s="2">
        <v>45667.333333333343</v>
      </c>
      <c r="B226">
        <f>4054.6304937003*(3/4)</f>
        <v>3040.9728702752218</v>
      </c>
    </row>
    <row r="227" spans="1:2" x14ac:dyDescent="0.3">
      <c r="A227" s="2">
        <v>45667.375</v>
      </c>
      <c r="B227">
        <f>4688.12798625475*(3/4)</f>
        <v>3516.0959896910599</v>
      </c>
    </row>
    <row r="228" spans="1:2" x14ac:dyDescent="0.3">
      <c r="A228" s="2">
        <v>45667.416666666657</v>
      </c>
      <c r="B228">
        <f>4628.83985703924*(3/4)</f>
        <v>3471.6298927794314</v>
      </c>
    </row>
    <row r="229" spans="1:2" x14ac:dyDescent="0.3">
      <c r="A229" s="2">
        <v>45667.458333333343</v>
      </c>
      <c r="B229">
        <f>4293.40515484534*(3/4)</f>
        <v>3220.0538661340083</v>
      </c>
    </row>
    <row r="230" spans="1:2" x14ac:dyDescent="0.3">
      <c r="A230" s="2">
        <v>45667.5</v>
      </c>
      <c r="B230">
        <f>4458.2881698378*(3/4)</f>
        <v>3343.7161273783531</v>
      </c>
    </row>
    <row r="231" spans="1:2" x14ac:dyDescent="0.3">
      <c r="A231" s="2">
        <v>45667.541666666657</v>
      </c>
      <c r="B231">
        <f>4297.55399209051*(3/4)</f>
        <v>3223.1654940678854</v>
      </c>
    </row>
    <row r="232" spans="1:2" x14ac:dyDescent="0.3">
      <c r="A232" s="2">
        <v>45667.583333333343</v>
      </c>
      <c r="B232">
        <f>4035.36051917636*(3/4)</f>
        <v>3026.5203893822677</v>
      </c>
    </row>
    <row r="233" spans="1:2" x14ac:dyDescent="0.3">
      <c r="A233" s="2">
        <v>45667.625</v>
      </c>
      <c r="B233">
        <f>4395.75470272285*(3/4)</f>
        <v>3296.8160270421363</v>
      </c>
    </row>
    <row r="234" spans="1:2" x14ac:dyDescent="0.3">
      <c r="A234" s="2">
        <v>45667.666666666657</v>
      </c>
      <c r="B234">
        <f>4424.04548778486*(3/4)</f>
        <v>3318.0341158386482</v>
      </c>
    </row>
    <row r="235" spans="1:2" x14ac:dyDescent="0.3">
      <c r="A235" s="2">
        <v>45667.708333333343</v>
      </c>
      <c r="B235">
        <f>4302.05867380981*(3/4)</f>
        <v>3226.5440053573561</v>
      </c>
    </row>
    <row r="236" spans="1:2" x14ac:dyDescent="0.3">
      <c r="A236" s="2">
        <v>45667.75</v>
      </c>
      <c r="B236">
        <f>4571.35230170123*(3/4)</f>
        <v>3428.5142262759209</v>
      </c>
    </row>
    <row r="237" spans="1:2" x14ac:dyDescent="0.3">
      <c r="A237" s="2">
        <v>45667.791666666657</v>
      </c>
      <c r="B237">
        <f>4359.68853935579*(3/4)</f>
        <v>3269.766404516844</v>
      </c>
    </row>
    <row r="238" spans="1:2" x14ac:dyDescent="0.3">
      <c r="A238" s="2">
        <v>45667.833333333343</v>
      </c>
      <c r="B238">
        <f>4175.26080554007*(3/4)</f>
        <v>3131.445604155052</v>
      </c>
    </row>
    <row r="239" spans="1:2" x14ac:dyDescent="0.3">
      <c r="A239" s="2">
        <v>45667.875</v>
      </c>
      <c r="B239">
        <f>4485.60704474848*(3/4)</f>
        <v>3364.2052835613567</v>
      </c>
    </row>
    <row r="240" spans="1:2" x14ac:dyDescent="0.3">
      <c r="A240" s="2">
        <v>45667.916666666657</v>
      </c>
      <c r="B240">
        <f>4137.39688788019*(3/4)</f>
        <v>3103.0476659101396</v>
      </c>
    </row>
    <row r="241" spans="1:2" x14ac:dyDescent="0.3">
      <c r="A241" s="2">
        <v>45667.958333333343</v>
      </c>
      <c r="B241">
        <f>4320.72394619162*(3/4)</f>
        <v>3240.542959643717</v>
      </c>
    </row>
    <row r="242" spans="1:2" x14ac:dyDescent="0.3">
      <c r="A242" s="2">
        <v>45668</v>
      </c>
      <c r="B242">
        <f>4267.58787761779*(3/4)</f>
        <v>3200.6909082133425</v>
      </c>
    </row>
    <row r="243" spans="1:2" x14ac:dyDescent="0.3">
      <c r="A243" s="2">
        <v>45668.041666666657</v>
      </c>
      <c r="B243">
        <f>4452.61621296371*(3/4)</f>
        <v>3339.4621597227797</v>
      </c>
    </row>
    <row r="244" spans="1:2" x14ac:dyDescent="0.3">
      <c r="A244" s="2">
        <v>45668.083333333343</v>
      </c>
      <c r="B244">
        <f>4317.07665447714*(3/4)</f>
        <v>3237.8074908578556</v>
      </c>
    </row>
    <row r="245" spans="1:2" x14ac:dyDescent="0.3">
      <c r="A245" s="2">
        <v>45668.125</v>
      </c>
      <c r="B245">
        <f>4450.41446317711*(3/4)</f>
        <v>3337.8108473828302</v>
      </c>
    </row>
    <row r="246" spans="1:2" x14ac:dyDescent="0.3">
      <c r="A246" s="2">
        <v>45668.166666666657</v>
      </c>
      <c r="B246">
        <f>4742.27276919631*(3/4)</f>
        <v>3556.7045768972312</v>
      </c>
    </row>
    <row r="247" spans="1:2" x14ac:dyDescent="0.3">
      <c r="A247" s="2">
        <v>45668.208333333343</v>
      </c>
      <c r="B247">
        <f>4391.77197152959*(3/4)</f>
        <v>3293.8289786471905</v>
      </c>
    </row>
    <row r="248" spans="1:2" x14ac:dyDescent="0.3">
      <c r="A248" s="2">
        <v>45668.25</v>
      </c>
      <c r="B248">
        <f>4037.00332235545*(3/4)</f>
        <v>3027.7524917665883</v>
      </c>
    </row>
    <row r="249" spans="1:2" x14ac:dyDescent="0.3">
      <c r="A249" s="2">
        <v>45668.291666666657</v>
      </c>
      <c r="B249">
        <f>4549.26788231369*(3/4)</f>
        <v>3411.950911735265</v>
      </c>
    </row>
    <row r="250" spans="1:2" x14ac:dyDescent="0.3">
      <c r="A250" s="2">
        <v>45668.333333333343</v>
      </c>
      <c r="B250">
        <f>4562.9632281884*(3/4)</f>
        <v>3422.2224211413013</v>
      </c>
    </row>
    <row r="251" spans="1:2" x14ac:dyDescent="0.3">
      <c r="A251" s="2">
        <v>45668.375</v>
      </c>
      <c r="B251">
        <f>4369.32214064924*(3/4)</f>
        <v>3276.9916054869318</v>
      </c>
    </row>
    <row r="252" spans="1:2" x14ac:dyDescent="0.3">
      <c r="A252" s="2">
        <v>45668.416666666657</v>
      </c>
      <c r="B252">
        <f>4576.97721515205*(3/4)</f>
        <v>3432.7329113640344</v>
      </c>
    </row>
    <row r="253" spans="1:2" x14ac:dyDescent="0.3">
      <c r="A253" s="2">
        <v>45668.458333333343</v>
      </c>
      <c r="B253">
        <f>4681.01655964893*(3/4)</f>
        <v>3510.7624197366986</v>
      </c>
    </row>
    <row r="254" spans="1:2" x14ac:dyDescent="0.3">
      <c r="A254" s="2">
        <v>45668.5</v>
      </c>
      <c r="B254">
        <f>4205.38022931117*(3/4)</f>
        <v>3154.0351719833779</v>
      </c>
    </row>
    <row r="255" spans="1:2" x14ac:dyDescent="0.3">
      <c r="A255" s="2">
        <v>45668.541666666657</v>
      </c>
      <c r="B255">
        <f>4639.65869032364*(3/4)</f>
        <v>3479.7440177427316</v>
      </c>
    </row>
    <row r="256" spans="1:2" x14ac:dyDescent="0.3">
      <c r="A256" s="2">
        <v>45668.583333333343</v>
      </c>
      <c r="B256">
        <f>4125.71734849501*(3/4)</f>
        <v>3094.2880113712608</v>
      </c>
    </row>
    <row r="257" spans="1:2" x14ac:dyDescent="0.3">
      <c r="A257" s="2">
        <v>45668.625</v>
      </c>
      <c r="B257">
        <f>4417.23948858336*(3/4)</f>
        <v>3312.9296164375201</v>
      </c>
    </row>
    <row r="258" spans="1:2" x14ac:dyDescent="0.3">
      <c r="A258" s="2">
        <v>45668.666666666657</v>
      </c>
      <c r="B258">
        <f>4616.15388707723*(3/4)</f>
        <v>3462.1154153079206</v>
      </c>
    </row>
    <row r="259" spans="1:2" x14ac:dyDescent="0.3">
      <c r="A259" s="2">
        <v>45668.708333333343</v>
      </c>
      <c r="B259">
        <f>4647.65546531771*(3/4)</f>
        <v>3485.7415989882838</v>
      </c>
    </row>
    <row r="260" spans="1:2" x14ac:dyDescent="0.3">
      <c r="A260" s="2">
        <v>45668.75</v>
      </c>
      <c r="B260">
        <f>4609.09239845467*(3/4)</f>
        <v>3456.8192988410037</v>
      </c>
    </row>
    <row r="261" spans="1:2" x14ac:dyDescent="0.3">
      <c r="A261" s="2">
        <v>45668.791666666657</v>
      </c>
      <c r="B261">
        <f>4626.34023890658*(3/4)</f>
        <v>3469.7551791799369</v>
      </c>
    </row>
    <row r="262" spans="1:2" x14ac:dyDescent="0.3">
      <c r="A262" s="2">
        <v>45668.833333333343</v>
      </c>
      <c r="B262">
        <f>4330.50124531353*(3/4)</f>
        <v>3247.8759339851472</v>
      </c>
    </row>
    <row r="263" spans="1:2" x14ac:dyDescent="0.3">
      <c r="A263" s="2">
        <v>45668.875</v>
      </c>
      <c r="B263">
        <f>4437.38155977938*(3/4)</f>
        <v>3328.0361698345359</v>
      </c>
    </row>
    <row r="264" spans="1:2" x14ac:dyDescent="0.3">
      <c r="A264" s="2">
        <v>45668.916666666657</v>
      </c>
      <c r="B264">
        <f>4106.84737933987*(3/4)</f>
        <v>3080.1355345048987</v>
      </c>
    </row>
    <row r="265" spans="1:2" x14ac:dyDescent="0.3">
      <c r="A265" s="2">
        <v>45668.958333333343</v>
      </c>
      <c r="B265">
        <f>4065.74425942798*(3/4)</f>
        <v>3049.3081945709882</v>
      </c>
    </row>
    <row r="266" spans="1:2" x14ac:dyDescent="0.3">
      <c r="A266" s="2">
        <v>45669</v>
      </c>
      <c r="B266">
        <f>4603.6459988645*(3/4)</f>
        <v>3452.7344991483742</v>
      </c>
    </row>
    <row r="267" spans="1:2" x14ac:dyDescent="0.3">
      <c r="A267" s="2">
        <v>45669.041666666657</v>
      </c>
      <c r="B267">
        <f>4484.42985107769*(3/4)</f>
        <v>3363.3223883082646</v>
      </c>
    </row>
    <row r="268" spans="1:2" x14ac:dyDescent="0.3">
      <c r="A268" s="2">
        <v>45669.083333333343</v>
      </c>
      <c r="B268">
        <f>4365.02232396051*(3/4)</f>
        <v>3273.7667429703852</v>
      </c>
    </row>
    <row r="269" spans="1:2" x14ac:dyDescent="0.3">
      <c r="A269" s="2">
        <v>45669.125</v>
      </c>
      <c r="B269">
        <f>4169.20004188253*(3/4)</f>
        <v>3126.9000314118966</v>
      </c>
    </row>
    <row r="270" spans="1:2" x14ac:dyDescent="0.3">
      <c r="A270" s="2">
        <v>45669.166666666657</v>
      </c>
      <c r="B270">
        <f>4659.7028398896*(3/4)</f>
        <v>3494.7771299171973</v>
      </c>
    </row>
    <row r="271" spans="1:2" x14ac:dyDescent="0.3">
      <c r="A271" s="2">
        <v>45669.208333333343</v>
      </c>
      <c r="B271">
        <f>4148.95171955178*(3/4)</f>
        <v>3111.7137896638342</v>
      </c>
    </row>
    <row r="272" spans="1:2" x14ac:dyDescent="0.3">
      <c r="A272" s="2">
        <v>45669.25</v>
      </c>
      <c r="B272">
        <f>4055.30685264226*(3/4)</f>
        <v>3041.4801394816936</v>
      </c>
    </row>
    <row r="273" spans="1:2" x14ac:dyDescent="0.3">
      <c r="A273" s="2">
        <v>45669.291666666657</v>
      </c>
      <c r="B273">
        <f>4458.60300207017*(3/4)</f>
        <v>3343.9522515526255</v>
      </c>
    </row>
    <row r="274" spans="1:2" x14ac:dyDescent="0.3">
      <c r="A274" s="2">
        <v>45669.333333333343</v>
      </c>
      <c r="B274">
        <f>3950.62022300718*(3/4)</f>
        <v>2962.9651672553864</v>
      </c>
    </row>
    <row r="275" spans="1:2" x14ac:dyDescent="0.3">
      <c r="A275" s="2">
        <v>45669.375</v>
      </c>
      <c r="B275">
        <f>3488.7091120057*(3/4)</f>
        <v>2616.5318340042736</v>
      </c>
    </row>
    <row r="276" spans="1:2" x14ac:dyDescent="0.3">
      <c r="A276" s="2">
        <v>45669.416666666657</v>
      </c>
      <c r="B276">
        <f>3534.74931688114*(3/4)</f>
        <v>2651.0619876608525</v>
      </c>
    </row>
    <row r="277" spans="1:2" x14ac:dyDescent="0.3">
      <c r="A277" s="2">
        <v>45669.458333333343</v>
      </c>
      <c r="B277">
        <f>4006.73823041858*(3/4)</f>
        <v>3005.0536728139377</v>
      </c>
    </row>
    <row r="278" spans="1:2" x14ac:dyDescent="0.3">
      <c r="A278" s="2">
        <v>45669.5</v>
      </c>
      <c r="B278">
        <f>3363.04868177142*(3/4)</f>
        <v>2522.2865113285675</v>
      </c>
    </row>
    <row r="279" spans="1:2" x14ac:dyDescent="0.3">
      <c r="A279" s="2">
        <v>45669.541666666657</v>
      </c>
      <c r="B279">
        <f>3935.26205899676*(3/4)</f>
        <v>2951.4465442475671</v>
      </c>
    </row>
    <row r="280" spans="1:2" x14ac:dyDescent="0.3">
      <c r="A280" s="2">
        <v>45669.583333333343</v>
      </c>
      <c r="B280">
        <f>3329.68424932774*(3/4)</f>
        <v>2497.2631869958036</v>
      </c>
    </row>
    <row r="281" spans="1:2" x14ac:dyDescent="0.3">
      <c r="A281" s="2">
        <v>45669.625</v>
      </c>
      <c r="B281">
        <f>3463.3074635041*(3/4)</f>
        <v>2597.4805976280741</v>
      </c>
    </row>
    <row r="282" spans="1:2" x14ac:dyDescent="0.3">
      <c r="A282" s="2">
        <v>45669.666666666657</v>
      </c>
      <c r="B282">
        <f>3566.80179406116*(3/4)</f>
        <v>2675.1013455458738</v>
      </c>
    </row>
    <row r="283" spans="1:2" x14ac:dyDescent="0.3">
      <c r="A283" s="2">
        <v>45669.708333333343</v>
      </c>
      <c r="B283">
        <f>4241.19154006043*(3/4)</f>
        <v>3180.8936550453227</v>
      </c>
    </row>
    <row r="284" spans="1:2" x14ac:dyDescent="0.3">
      <c r="A284" s="2">
        <v>45669.75</v>
      </c>
      <c r="B284">
        <f>4283.63157403959*(3/4)</f>
        <v>3212.7236805296907</v>
      </c>
    </row>
    <row r="285" spans="1:2" x14ac:dyDescent="0.3">
      <c r="A285" s="2">
        <v>45669.791666666657</v>
      </c>
      <c r="B285">
        <f>4579.86766882968*(3/4)</f>
        <v>3434.9007516222582</v>
      </c>
    </row>
    <row r="286" spans="1:2" x14ac:dyDescent="0.3">
      <c r="A286" s="2">
        <v>45669.833333333343</v>
      </c>
      <c r="B286">
        <f>4800*(3/4)</f>
        <v>3600</v>
      </c>
    </row>
    <row r="287" spans="1:2" x14ac:dyDescent="0.3">
      <c r="A287" s="2">
        <v>45669.875</v>
      </c>
      <c r="B287">
        <f>4475.2155429378*(3/4)</f>
        <v>3356.4116572033499</v>
      </c>
    </row>
    <row r="288" spans="1:2" x14ac:dyDescent="0.3">
      <c r="A288" s="2">
        <v>45669.916666666657</v>
      </c>
      <c r="B288">
        <f>4363.87526902399*(3/4)</f>
        <v>3272.9064517679958</v>
      </c>
    </row>
    <row r="289" spans="1:2" x14ac:dyDescent="0.3">
      <c r="A289" s="2">
        <v>45669.958333333343</v>
      </c>
      <c r="B289">
        <f>4381.42580097091*(3/4)</f>
        <v>3286.0693507281821</v>
      </c>
    </row>
    <row r="290" spans="1:2" x14ac:dyDescent="0.3">
      <c r="A290" s="2">
        <v>45670</v>
      </c>
      <c r="B290">
        <f>4213.94367908866*(3/4)</f>
        <v>3160.4577593164922</v>
      </c>
    </row>
    <row r="291" spans="1:2" x14ac:dyDescent="0.3">
      <c r="A291" s="2">
        <v>45670.041666666657</v>
      </c>
      <c r="B291">
        <f>4462.7147743868*(3/4)</f>
        <v>3347.0360807900979</v>
      </c>
    </row>
    <row r="292" spans="1:2" x14ac:dyDescent="0.3">
      <c r="A292" s="2">
        <v>45670.083333333343</v>
      </c>
      <c r="B292">
        <f>4519.95474394476*(3/4)</f>
        <v>3389.9660579585734</v>
      </c>
    </row>
    <row r="293" spans="1:2" x14ac:dyDescent="0.3">
      <c r="A293" s="2">
        <v>45670.125</v>
      </c>
      <c r="B293">
        <f>4358.22544724823*(3/4)</f>
        <v>3268.6690854361759</v>
      </c>
    </row>
    <row r="294" spans="1:2" x14ac:dyDescent="0.3">
      <c r="A294" s="2">
        <v>45670.166666666657</v>
      </c>
      <c r="B294">
        <f>4280.79589875557*(3/4)</f>
        <v>3210.5969240666755</v>
      </c>
    </row>
    <row r="295" spans="1:2" x14ac:dyDescent="0.3">
      <c r="A295" s="2">
        <v>45670.208333333343</v>
      </c>
      <c r="B295">
        <f>4126.60032867755*(3/4)</f>
        <v>3094.950246508165</v>
      </c>
    </row>
    <row r="296" spans="1:2" x14ac:dyDescent="0.3">
      <c r="A296" s="2">
        <v>45670.25</v>
      </c>
      <c r="B296">
        <f>4393.61901370211*(3/4)</f>
        <v>3295.2142602765794</v>
      </c>
    </row>
    <row r="297" spans="1:2" x14ac:dyDescent="0.3">
      <c r="A297" s="2">
        <v>45670.291666666657</v>
      </c>
      <c r="B297">
        <f>4380.28282463205*(3/4)</f>
        <v>3285.2121184740336</v>
      </c>
    </row>
    <row r="298" spans="1:2" x14ac:dyDescent="0.3">
      <c r="A298" s="2">
        <v>45670.333333333343</v>
      </c>
      <c r="B298">
        <f>4636.6072891649*(3/4)</f>
        <v>3477.4554668736723</v>
      </c>
    </row>
    <row r="299" spans="1:2" x14ac:dyDescent="0.3">
      <c r="A299" s="2">
        <v>45670.375</v>
      </c>
      <c r="B299">
        <f>4405.22421079899*(3/4)</f>
        <v>3303.9181580992449</v>
      </c>
    </row>
    <row r="300" spans="1:2" x14ac:dyDescent="0.3">
      <c r="A300" s="2">
        <v>45670.416666666657</v>
      </c>
      <c r="B300">
        <f>4485.76905339437*(3/4)</f>
        <v>3364.3267900457749</v>
      </c>
    </row>
    <row r="301" spans="1:2" x14ac:dyDescent="0.3">
      <c r="A301" s="2">
        <v>45670.458333333343</v>
      </c>
      <c r="B301">
        <f>4241.22050556051*(3/4)</f>
        <v>3180.9153791703848</v>
      </c>
    </row>
    <row r="302" spans="1:2" x14ac:dyDescent="0.3">
      <c r="A302" s="2">
        <v>45670.5</v>
      </c>
      <c r="B302">
        <f>4800*(3/4)</f>
        <v>3600</v>
      </c>
    </row>
    <row r="303" spans="1:2" x14ac:dyDescent="0.3">
      <c r="A303" s="2">
        <v>45670.541666666657</v>
      </c>
      <c r="B303">
        <f>4471.56879364378*(3/4)</f>
        <v>3353.6765952328369</v>
      </c>
    </row>
    <row r="304" spans="1:2" x14ac:dyDescent="0.3">
      <c r="A304" s="2">
        <v>45670.583333333343</v>
      </c>
      <c r="B304">
        <f>4009.25217910614*(3/4)</f>
        <v>3006.9391343296065</v>
      </c>
    </row>
    <row r="305" spans="1:2" x14ac:dyDescent="0.3">
      <c r="A305" s="2">
        <v>45670.625</v>
      </c>
      <c r="B305">
        <f>4429.50779503571*(3/4)</f>
        <v>3322.1308462767838</v>
      </c>
    </row>
    <row r="306" spans="1:2" x14ac:dyDescent="0.3">
      <c r="A306" s="2">
        <v>45670.666666666657</v>
      </c>
      <c r="B306">
        <f>4716.85729174586*(3/4)</f>
        <v>3537.6429688093949</v>
      </c>
    </row>
    <row r="307" spans="1:2" x14ac:dyDescent="0.3">
      <c r="A307" s="2">
        <v>45670.708333333343</v>
      </c>
      <c r="B307">
        <f>4340.7576335762*(3/4)</f>
        <v>3255.5682251821472</v>
      </c>
    </row>
    <row r="308" spans="1:2" x14ac:dyDescent="0.3">
      <c r="A308" s="2">
        <v>45670.75</v>
      </c>
      <c r="B308">
        <f>4587.88806618739*(3/4)</f>
        <v>3440.9160496405398</v>
      </c>
    </row>
    <row r="309" spans="1:2" x14ac:dyDescent="0.3">
      <c r="A309" s="2">
        <v>45670.791666666657</v>
      </c>
      <c r="B309">
        <f>4312.88691100251*(3/4)</f>
        <v>3234.6651832518837</v>
      </c>
    </row>
    <row r="310" spans="1:2" x14ac:dyDescent="0.3">
      <c r="A310" s="2">
        <v>45670.833333333343</v>
      </c>
      <c r="B310">
        <f>4345.83970811612*(3/4)</f>
        <v>3259.3797810870938</v>
      </c>
    </row>
    <row r="311" spans="1:2" x14ac:dyDescent="0.3">
      <c r="A311" s="2">
        <v>45670.875</v>
      </c>
      <c r="B311">
        <f>4184.81769155574*(3/4)</f>
        <v>3138.6132686668016</v>
      </c>
    </row>
    <row r="312" spans="1:2" x14ac:dyDescent="0.3">
      <c r="A312" s="2">
        <v>45670.916666666657</v>
      </c>
      <c r="B312">
        <f>4010.31604161432*(3/4)</f>
        <v>3007.73703121074</v>
      </c>
    </row>
    <row r="313" spans="1:2" x14ac:dyDescent="0.3">
      <c r="A313" s="2">
        <v>45670.958333333343</v>
      </c>
      <c r="B313">
        <f>4501.93166708393*(3/4)</f>
        <v>3376.4487503129494</v>
      </c>
    </row>
    <row r="314" spans="1:2" x14ac:dyDescent="0.3">
      <c r="A314" s="2">
        <v>45671</v>
      </c>
      <c r="B314">
        <f>4360.93561680043*(3/4)</f>
        <v>3270.7017126003248</v>
      </c>
    </row>
    <row r="315" spans="1:2" x14ac:dyDescent="0.3">
      <c r="A315" s="2">
        <v>45671.041666666657</v>
      </c>
      <c r="B315">
        <f>4369.70118249476*(3/4)</f>
        <v>3277.2758868710671</v>
      </c>
    </row>
    <row r="316" spans="1:2" x14ac:dyDescent="0.3">
      <c r="A316" s="2">
        <v>45671.083333333343</v>
      </c>
      <c r="B316">
        <f>4246.08659182388*(3/4)</f>
        <v>3184.5649438679065</v>
      </c>
    </row>
    <row r="317" spans="1:2" x14ac:dyDescent="0.3">
      <c r="A317" s="2">
        <v>45671.125</v>
      </c>
      <c r="B317">
        <f>4421.90596781746*(3/4)</f>
        <v>3316.4294758630967</v>
      </c>
    </row>
    <row r="318" spans="1:2" x14ac:dyDescent="0.3">
      <c r="A318" s="2">
        <v>45671.166666666657</v>
      </c>
      <c r="B318">
        <f>4557.33361196621*(3/4)</f>
        <v>3418.0002089746549</v>
      </c>
    </row>
    <row r="319" spans="1:2" x14ac:dyDescent="0.3">
      <c r="A319" s="2">
        <v>45671.208333333343</v>
      </c>
      <c r="B319">
        <f>4136.62626989273*(3/4)</f>
        <v>3102.4697024195457</v>
      </c>
    </row>
    <row r="320" spans="1:2" x14ac:dyDescent="0.3">
      <c r="A320" s="2">
        <v>45671.25</v>
      </c>
      <c r="B320">
        <f>4430.42093773009*(3/4)</f>
        <v>3322.815703297566</v>
      </c>
    </row>
    <row r="321" spans="1:2" x14ac:dyDescent="0.3">
      <c r="A321" s="2">
        <v>45671.291666666657</v>
      </c>
      <c r="B321">
        <f>4531.30911523971*(3/4)</f>
        <v>3398.4818364297853</v>
      </c>
    </row>
    <row r="322" spans="1:2" x14ac:dyDescent="0.3">
      <c r="A322" s="2">
        <v>45671.333333333343</v>
      </c>
      <c r="B322">
        <f>4661.50131955046*(3/4)</f>
        <v>3496.1259896628449</v>
      </c>
    </row>
    <row r="323" spans="1:2" x14ac:dyDescent="0.3">
      <c r="A323" s="2">
        <v>45671.375</v>
      </c>
      <c r="B323">
        <f>4540.92788976607*(3/4)</f>
        <v>3405.6959173245505</v>
      </c>
    </row>
    <row r="324" spans="1:2" x14ac:dyDescent="0.3">
      <c r="A324" s="2">
        <v>45671.416666666657</v>
      </c>
      <c r="B324">
        <f>4424.16412300394*(3/4)</f>
        <v>3318.1230922529567</v>
      </c>
    </row>
    <row r="325" spans="1:2" x14ac:dyDescent="0.3">
      <c r="A325" s="2">
        <v>45671.458333333343</v>
      </c>
      <c r="B325">
        <f>4731.93388287913*(3/4)</f>
        <v>3548.9504121593463</v>
      </c>
    </row>
    <row r="326" spans="1:2" x14ac:dyDescent="0.3">
      <c r="A326" s="2">
        <v>45671.5</v>
      </c>
      <c r="B326">
        <f>4185.73638434094*(3/4)</f>
        <v>3139.3022882557079</v>
      </c>
    </row>
    <row r="327" spans="1:2" x14ac:dyDescent="0.3">
      <c r="A327" s="2">
        <v>45671.541666666657</v>
      </c>
      <c r="B327">
        <f>4230.22034832908*(3/4)</f>
        <v>3172.6652612468097</v>
      </c>
    </row>
    <row r="328" spans="1:2" x14ac:dyDescent="0.3">
      <c r="A328" s="2">
        <v>45671.583333333343</v>
      </c>
      <c r="B328">
        <f>4097.01743467923*(3/4)</f>
        <v>3072.7630760094262</v>
      </c>
    </row>
    <row r="329" spans="1:2" x14ac:dyDescent="0.3">
      <c r="A329" s="2">
        <v>45671.625</v>
      </c>
      <c r="B329">
        <f>4628.88255447697*(3/4)</f>
        <v>3471.6619158577246</v>
      </c>
    </row>
    <row r="330" spans="1:2" x14ac:dyDescent="0.3">
      <c r="A330" s="2">
        <v>45671.666666666657</v>
      </c>
      <c r="B330">
        <f>4747.9720940404*(3/4)</f>
        <v>3560.9790705303039</v>
      </c>
    </row>
    <row r="331" spans="1:2" x14ac:dyDescent="0.3">
      <c r="A331" s="2">
        <v>45671.708333333343</v>
      </c>
      <c r="B331">
        <f>4516.40704303013*(3/4)</f>
        <v>3387.3052822726008</v>
      </c>
    </row>
    <row r="332" spans="1:2" x14ac:dyDescent="0.3">
      <c r="A332" s="2">
        <v>45671.75</v>
      </c>
      <c r="B332">
        <f>4342.76371779518*(3/4)</f>
        <v>3257.072788346386</v>
      </c>
    </row>
    <row r="333" spans="1:2" x14ac:dyDescent="0.3">
      <c r="A333" s="2">
        <v>45671.791666666657</v>
      </c>
      <c r="B333">
        <f>4288.39269379374*(3/4)</f>
        <v>3216.2945203453073</v>
      </c>
    </row>
    <row r="334" spans="1:2" x14ac:dyDescent="0.3">
      <c r="A334" s="2">
        <v>45671.833333333343</v>
      </c>
      <c r="B334">
        <f>4800*(3/4)</f>
        <v>3600</v>
      </c>
    </row>
    <row r="335" spans="1:2" x14ac:dyDescent="0.3">
      <c r="A335" s="2">
        <v>45671.875</v>
      </c>
      <c r="B335">
        <f>4413.77825680772*(3/4)</f>
        <v>3310.3336926057927</v>
      </c>
    </row>
    <row r="336" spans="1:2" x14ac:dyDescent="0.3">
      <c r="A336" s="2">
        <v>45671.916666666657</v>
      </c>
      <c r="B336">
        <f>4073.07730523332*(3/4)</f>
        <v>3054.8079789249887</v>
      </c>
    </row>
    <row r="337" spans="1:2" x14ac:dyDescent="0.3">
      <c r="A337" s="2">
        <v>45671.958333333343</v>
      </c>
      <c r="B337">
        <f>4161.99228131501*(3/4)</f>
        <v>3121.494210986255</v>
      </c>
    </row>
    <row r="338" spans="1:2" x14ac:dyDescent="0.3">
      <c r="A338" s="2">
        <v>45672</v>
      </c>
      <c r="B338">
        <f>4710.45974123395*(3/4)</f>
        <v>3532.8448059254606</v>
      </c>
    </row>
    <row r="339" spans="1:2" x14ac:dyDescent="0.3">
      <c r="A339" s="2">
        <v>45672.041666666657</v>
      </c>
      <c r="B339">
        <f>4241.74141889945*(3/4)</f>
        <v>3181.3060641745897</v>
      </c>
    </row>
    <row r="340" spans="1:2" x14ac:dyDescent="0.3">
      <c r="A340" s="2">
        <v>45672.083333333343</v>
      </c>
      <c r="B340">
        <f>4279.55264664662*(3/4)</f>
        <v>3209.6644849849654</v>
      </c>
    </row>
    <row r="341" spans="1:2" x14ac:dyDescent="0.3">
      <c r="A341" s="2">
        <v>45672.125</v>
      </c>
      <c r="B341">
        <f>4544.52058638193*(3/4)</f>
        <v>3408.390439786449</v>
      </c>
    </row>
    <row r="342" spans="1:2" x14ac:dyDescent="0.3">
      <c r="A342" s="2">
        <v>45672.166666666657</v>
      </c>
      <c r="B342">
        <f>4346.16792082398*(3/4)</f>
        <v>3259.6259406179888</v>
      </c>
    </row>
    <row r="343" spans="1:2" x14ac:dyDescent="0.3">
      <c r="A343" s="2">
        <v>45672.208333333343</v>
      </c>
      <c r="B343">
        <f>4507.28194819253*(3/4)</f>
        <v>3380.4614611444008</v>
      </c>
    </row>
    <row r="344" spans="1:2" x14ac:dyDescent="0.3">
      <c r="A344" s="2">
        <v>45672.25</v>
      </c>
      <c r="B344">
        <f>4278.9015939139*(3/4)</f>
        <v>3209.1761954354242</v>
      </c>
    </row>
    <row r="345" spans="1:2" x14ac:dyDescent="0.3">
      <c r="A345" s="2">
        <v>45672.291666666657</v>
      </c>
      <c r="B345">
        <f>4609.30735603506*(3/4)</f>
        <v>3456.980517026298</v>
      </c>
    </row>
    <row r="346" spans="1:2" x14ac:dyDescent="0.3">
      <c r="A346" s="2">
        <v>45672.333333333343</v>
      </c>
      <c r="B346">
        <f>4232.64801352242*(3/4)</f>
        <v>3174.4860101418135</v>
      </c>
    </row>
    <row r="347" spans="1:2" x14ac:dyDescent="0.3">
      <c r="A347" s="2">
        <v>45672.375</v>
      </c>
      <c r="B347">
        <f>4613.44920793729*(3/4)</f>
        <v>3460.0869059529668</v>
      </c>
    </row>
    <row r="348" spans="1:2" x14ac:dyDescent="0.3">
      <c r="A348" s="2">
        <v>45672.416666666657</v>
      </c>
      <c r="B348">
        <f>4654.17262052609*(3/4)</f>
        <v>3490.629465394567</v>
      </c>
    </row>
    <row r="349" spans="1:2" x14ac:dyDescent="0.3">
      <c r="A349" s="2">
        <v>45672.458333333343</v>
      </c>
      <c r="B349">
        <f>4600.03383521487*(3/4)</f>
        <v>3450.0253764111526</v>
      </c>
    </row>
    <row r="350" spans="1:2" x14ac:dyDescent="0.3">
      <c r="A350" s="2">
        <v>45672.5</v>
      </c>
      <c r="B350">
        <f>4800*(3/4)</f>
        <v>3600</v>
      </c>
    </row>
    <row r="351" spans="1:2" x14ac:dyDescent="0.3">
      <c r="A351" s="2">
        <v>45672.541666666657</v>
      </c>
      <c r="B351">
        <f>4517.14169743848*(3/4)</f>
        <v>3387.8562730788567</v>
      </c>
    </row>
    <row r="352" spans="1:2" x14ac:dyDescent="0.3">
      <c r="A352" s="2">
        <v>45672.583333333343</v>
      </c>
      <c r="B352">
        <f>4360.72870168235*(3/4)</f>
        <v>3270.5465262617599</v>
      </c>
    </row>
    <row r="353" spans="1:2" x14ac:dyDescent="0.3">
      <c r="A353" s="2">
        <v>45672.625</v>
      </c>
      <c r="B353">
        <f>4485.52507535391*(3/4)</f>
        <v>3364.1438065154321</v>
      </c>
    </row>
    <row r="354" spans="1:2" x14ac:dyDescent="0.3">
      <c r="A354" s="2">
        <v>45672.666666666657</v>
      </c>
      <c r="B354">
        <f>4450.97095500827*(3/4)</f>
        <v>3338.2282162562005</v>
      </c>
    </row>
    <row r="355" spans="1:2" x14ac:dyDescent="0.3">
      <c r="A355" s="2">
        <v>45672.708333333343</v>
      </c>
      <c r="B355">
        <f>4401.12990722566*(3/4)</f>
        <v>3300.8474304192478</v>
      </c>
    </row>
    <row r="356" spans="1:2" x14ac:dyDescent="0.3">
      <c r="A356" s="2">
        <v>45672.75</v>
      </c>
      <c r="B356">
        <f>4350.17970771416*(3/4)</f>
        <v>3262.63478078562</v>
      </c>
    </row>
    <row r="357" spans="1:2" x14ac:dyDescent="0.3">
      <c r="A357" s="2">
        <v>45672.791666666657</v>
      </c>
      <c r="B357">
        <f>4530.41884864361*(3/4)</f>
        <v>3397.8141364827106</v>
      </c>
    </row>
    <row r="358" spans="1:2" x14ac:dyDescent="0.3">
      <c r="A358" s="2">
        <v>45672.833333333343</v>
      </c>
      <c r="B358">
        <f>4281.7981540162*(3/4)</f>
        <v>3211.3486155121514</v>
      </c>
    </row>
    <row r="359" spans="1:2" x14ac:dyDescent="0.3">
      <c r="A359" s="2">
        <v>45672.875</v>
      </c>
      <c r="B359">
        <f>4453.91709887993*(3/4)</f>
        <v>3340.4378241599493</v>
      </c>
    </row>
    <row r="360" spans="1:2" x14ac:dyDescent="0.3">
      <c r="A360" s="2">
        <v>45672.916666666657</v>
      </c>
      <c r="B360">
        <f>4024.23599014039*(3/4)</f>
        <v>3018.1769926052916</v>
      </c>
    </row>
    <row r="361" spans="1:2" x14ac:dyDescent="0.3">
      <c r="A361" s="2">
        <v>45672.958333333343</v>
      </c>
      <c r="B361">
        <f>4159.16727886075*(3/4)</f>
        <v>3119.3754591455654</v>
      </c>
    </row>
    <row r="362" spans="1:2" x14ac:dyDescent="0.3">
      <c r="A362" s="2">
        <v>45673</v>
      </c>
      <c r="B362">
        <f>4359.85262728534*(3/4)</f>
        <v>3269.8894704640024</v>
      </c>
    </row>
    <row r="363" spans="1:2" x14ac:dyDescent="0.3">
      <c r="A363" s="2">
        <v>45673.041666666657</v>
      </c>
      <c r="B363">
        <f>4469.01518204352*(3/4)</f>
        <v>3351.7613865326375</v>
      </c>
    </row>
    <row r="364" spans="1:2" x14ac:dyDescent="0.3">
      <c r="A364" s="2">
        <v>45673.083333333343</v>
      </c>
      <c r="B364">
        <f>4283.80499068364*(3/4)</f>
        <v>3212.853743012733</v>
      </c>
    </row>
    <row r="365" spans="1:2" x14ac:dyDescent="0.3">
      <c r="A365" s="2">
        <v>45673.125</v>
      </c>
      <c r="B365">
        <f>4196.77601264381*(3/4)</f>
        <v>3147.5820094828578</v>
      </c>
    </row>
    <row r="366" spans="1:2" x14ac:dyDescent="0.3">
      <c r="A366" s="2">
        <v>45673.166666666657</v>
      </c>
      <c r="B366">
        <f>4707.31306419501*(3/4)</f>
        <v>3530.4847981462572</v>
      </c>
    </row>
    <row r="367" spans="1:2" x14ac:dyDescent="0.3">
      <c r="A367" s="2">
        <v>45673.208333333343</v>
      </c>
      <c r="B367">
        <f>4556.06336762093*(3/4)</f>
        <v>3417.0475257156954</v>
      </c>
    </row>
    <row r="368" spans="1:2" x14ac:dyDescent="0.3">
      <c r="A368" s="2">
        <v>45673.25</v>
      </c>
      <c r="B368">
        <f>4286.87794528775*(3/4)</f>
        <v>3215.1584589658123</v>
      </c>
    </row>
    <row r="369" spans="1:2" x14ac:dyDescent="0.3">
      <c r="A369" s="2">
        <v>45673.291666666657</v>
      </c>
      <c r="B369">
        <f>4288.32051790115*(3/4)</f>
        <v>3216.2403884258601</v>
      </c>
    </row>
    <row r="370" spans="1:2" x14ac:dyDescent="0.3">
      <c r="A370" s="2">
        <v>45673.333333333343</v>
      </c>
      <c r="B370">
        <f>4691.07929276401*(3/4)</f>
        <v>3518.3094695730088</v>
      </c>
    </row>
    <row r="371" spans="1:2" x14ac:dyDescent="0.3">
      <c r="A371" s="2">
        <v>45673.375</v>
      </c>
      <c r="B371">
        <f>4616.56216543362*(3/4)</f>
        <v>3462.4216240752157</v>
      </c>
    </row>
    <row r="372" spans="1:2" x14ac:dyDescent="0.3">
      <c r="A372" s="2">
        <v>45673.416666666657</v>
      </c>
      <c r="B372">
        <f>4539.09196267346*(3/4)</f>
        <v>3404.3189720050968</v>
      </c>
    </row>
    <row r="373" spans="1:2" x14ac:dyDescent="0.3">
      <c r="A373" s="2">
        <v>45673.458333333343</v>
      </c>
      <c r="B373">
        <f>4750.40270031941*(3/4)</f>
        <v>3562.802025239559</v>
      </c>
    </row>
    <row r="374" spans="1:2" x14ac:dyDescent="0.3">
      <c r="A374" s="2">
        <v>45673.5</v>
      </c>
      <c r="B374">
        <f>4562.17407196789*(3/4)</f>
        <v>3421.6305539759196</v>
      </c>
    </row>
    <row r="375" spans="1:2" x14ac:dyDescent="0.3">
      <c r="A375" s="2">
        <v>45673.541666666657</v>
      </c>
      <c r="B375">
        <f>4282.87620764353*(3/4)</f>
        <v>3212.1571557326488</v>
      </c>
    </row>
    <row r="376" spans="1:2" x14ac:dyDescent="0.3">
      <c r="A376" s="2">
        <v>45673.583333333343</v>
      </c>
      <c r="B376">
        <f>4053.70380186645*(3/4)</f>
        <v>3040.277851399836</v>
      </c>
    </row>
    <row r="377" spans="1:2" x14ac:dyDescent="0.3">
      <c r="A377" s="2">
        <v>45673.625</v>
      </c>
      <c r="B377">
        <f>4634.05519193119*(3/4)</f>
        <v>3475.5413939483947</v>
      </c>
    </row>
    <row r="378" spans="1:2" x14ac:dyDescent="0.3">
      <c r="A378" s="2">
        <v>45673.666666666657</v>
      </c>
      <c r="B378">
        <f>4568.19439791739*(3/4)</f>
        <v>3426.1457984380427</v>
      </c>
    </row>
    <row r="379" spans="1:2" x14ac:dyDescent="0.3">
      <c r="A379" s="2">
        <v>45673.708333333343</v>
      </c>
      <c r="B379">
        <f>4635.07613119721*(3/4)</f>
        <v>3476.3070983979096</v>
      </c>
    </row>
    <row r="380" spans="1:2" x14ac:dyDescent="0.3">
      <c r="A380" s="2">
        <v>45673.75</v>
      </c>
      <c r="B380">
        <f>4275.04804131945*(3/4)</f>
        <v>3206.2860309895855</v>
      </c>
    </row>
    <row r="381" spans="1:2" x14ac:dyDescent="0.3">
      <c r="A381" s="2">
        <v>45673.791666666657</v>
      </c>
      <c r="B381">
        <f>4578.88451783339*(3/4)</f>
        <v>3434.1633883750465</v>
      </c>
    </row>
    <row r="382" spans="1:2" x14ac:dyDescent="0.3">
      <c r="A382" s="2">
        <v>45673.833333333343</v>
      </c>
      <c r="B382">
        <f>4562.48306464019*(3/4)</f>
        <v>3421.8622984801405</v>
      </c>
    </row>
    <row r="383" spans="1:2" x14ac:dyDescent="0.3">
      <c r="A383" s="2">
        <v>45673.875</v>
      </c>
      <c r="B383">
        <f>4740.51562173834*(3/4)</f>
        <v>3555.3867163037585</v>
      </c>
    </row>
    <row r="384" spans="1:2" x14ac:dyDescent="0.3">
      <c r="A384" s="2">
        <v>45673.916666666657</v>
      </c>
      <c r="B384">
        <f>3856.03020740495*(3/4)</f>
        <v>2892.0226555537088</v>
      </c>
    </row>
    <row r="385" spans="1:2" x14ac:dyDescent="0.3">
      <c r="A385" s="2">
        <v>45673.958333333343</v>
      </c>
      <c r="B385">
        <f>3984.78843913287*(3/4)</f>
        <v>2988.5913293496542</v>
      </c>
    </row>
    <row r="386" spans="1:2" x14ac:dyDescent="0.3">
      <c r="A386" s="2">
        <v>45674</v>
      </c>
      <c r="B386">
        <f>4164.48609201483*(3/4)</f>
        <v>3123.3645690111243</v>
      </c>
    </row>
    <row r="387" spans="1:2" x14ac:dyDescent="0.3">
      <c r="A387" s="2">
        <v>45674.041666666657</v>
      </c>
      <c r="B387">
        <f>4337.60373380597*(3/4)</f>
        <v>3253.2028003544765</v>
      </c>
    </row>
    <row r="388" spans="1:2" x14ac:dyDescent="0.3">
      <c r="A388" s="2">
        <v>45674.083333333343</v>
      </c>
      <c r="B388">
        <f>4391.19705607355*(3/4)</f>
        <v>3293.3977920551642</v>
      </c>
    </row>
    <row r="389" spans="1:2" x14ac:dyDescent="0.3">
      <c r="A389" s="2">
        <v>45674.125</v>
      </c>
      <c r="B389">
        <f>4354.02041971088*(3/4)</f>
        <v>3265.5153147831584</v>
      </c>
    </row>
    <row r="390" spans="1:2" x14ac:dyDescent="0.3">
      <c r="A390" s="2">
        <v>45674.166666666657</v>
      </c>
      <c r="B390">
        <f>4597.87914887043*(3/4)</f>
        <v>3448.4093616528226</v>
      </c>
    </row>
    <row r="391" spans="1:2" x14ac:dyDescent="0.3">
      <c r="A391" s="2">
        <v>45674.208333333343</v>
      </c>
      <c r="B391">
        <f>3984.22194771592*(3/4)</f>
        <v>2988.1664607869402</v>
      </c>
    </row>
    <row r="392" spans="1:2" x14ac:dyDescent="0.3">
      <c r="A392" s="2">
        <v>45674.25</v>
      </c>
      <c r="B392">
        <f>4020.02557299464*(3/4)</f>
        <v>3015.0191797459797</v>
      </c>
    </row>
    <row r="393" spans="1:2" x14ac:dyDescent="0.3">
      <c r="A393" s="2">
        <v>45674.291666666657</v>
      </c>
      <c r="B393">
        <f>4340.6730994369*(3/4)</f>
        <v>3255.5048245776734</v>
      </c>
    </row>
    <row r="394" spans="1:2" x14ac:dyDescent="0.3">
      <c r="A394" s="2">
        <v>45674.333333333343</v>
      </c>
      <c r="B394">
        <f>4300.09252687602*(3/4)</f>
        <v>3225.0693951570124</v>
      </c>
    </row>
    <row r="395" spans="1:2" x14ac:dyDescent="0.3">
      <c r="A395" s="2">
        <v>45674.375</v>
      </c>
      <c r="B395">
        <f>4397.58079331213*(3/4)</f>
        <v>3298.1855949841006</v>
      </c>
    </row>
    <row r="396" spans="1:2" x14ac:dyDescent="0.3">
      <c r="A396" s="2">
        <v>45674.416666666657</v>
      </c>
      <c r="B396">
        <f>4266.25673349365*(3/4)</f>
        <v>3199.692550120239</v>
      </c>
    </row>
    <row r="397" spans="1:2" x14ac:dyDescent="0.3">
      <c r="A397" s="2">
        <v>45674.458333333343</v>
      </c>
      <c r="B397">
        <f>4296.25801329709*(3/4)</f>
        <v>3222.1935099728171</v>
      </c>
    </row>
    <row r="398" spans="1:2" x14ac:dyDescent="0.3">
      <c r="A398" s="2">
        <v>45674.5</v>
      </c>
      <c r="B398">
        <f>4585.16090426415*(3/4)</f>
        <v>3438.8706781981141</v>
      </c>
    </row>
    <row r="399" spans="1:2" x14ac:dyDescent="0.3">
      <c r="A399" s="2">
        <v>45674.541666666657</v>
      </c>
      <c r="B399">
        <f>4625.40797193058*(3/4)</f>
        <v>3469.0559789479375</v>
      </c>
    </row>
    <row r="400" spans="1:2" x14ac:dyDescent="0.3">
      <c r="A400" s="2">
        <v>45674.583333333343</v>
      </c>
      <c r="B400">
        <f>4120.88381293938*(3/4)</f>
        <v>3090.6628597045369</v>
      </c>
    </row>
    <row r="401" spans="1:2" x14ac:dyDescent="0.3">
      <c r="A401" s="2">
        <v>45674.625</v>
      </c>
      <c r="B401">
        <f>4320.47551461862*(3/4)</f>
        <v>3240.3566359639644</v>
      </c>
    </row>
    <row r="402" spans="1:2" x14ac:dyDescent="0.3">
      <c r="A402" s="2">
        <v>45674.666666666657</v>
      </c>
      <c r="B402">
        <f>4171.27283857966*(3/4)</f>
        <v>3128.4546289347472</v>
      </c>
    </row>
    <row r="403" spans="1:2" x14ac:dyDescent="0.3">
      <c r="A403" s="2">
        <v>45674.708333333343</v>
      </c>
      <c r="B403">
        <f>4451.33658273875*(3/4)</f>
        <v>3338.5024370540641</v>
      </c>
    </row>
    <row r="404" spans="1:2" x14ac:dyDescent="0.3">
      <c r="A404" s="2">
        <v>45674.75</v>
      </c>
      <c r="B404">
        <f>4460.27100502971*(3/4)</f>
        <v>3345.2032537722826</v>
      </c>
    </row>
    <row r="405" spans="1:2" x14ac:dyDescent="0.3">
      <c r="A405" s="2">
        <v>45674.791666666657</v>
      </c>
      <c r="B405">
        <f>4767.46392477354*(3/4)</f>
        <v>3575.597943580156</v>
      </c>
    </row>
    <row r="406" spans="1:2" x14ac:dyDescent="0.3">
      <c r="A406" s="2">
        <v>45674.833333333343</v>
      </c>
      <c r="B406">
        <f>4682.69852450524*(3/4)</f>
        <v>3512.0238933789315</v>
      </c>
    </row>
    <row r="407" spans="1:2" x14ac:dyDescent="0.3">
      <c r="A407" s="2">
        <v>45674.875</v>
      </c>
      <c r="B407">
        <f>4532.90070925059*(3/4)</f>
        <v>3399.6755319379458</v>
      </c>
    </row>
    <row r="408" spans="1:2" x14ac:dyDescent="0.3">
      <c r="A408" s="2">
        <v>45674.916666666657</v>
      </c>
      <c r="B408">
        <f>4117.49410077875*(3/4)</f>
        <v>3088.1205755840606</v>
      </c>
    </row>
    <row r="409" spans="1:2" x14ac:dyDescent="0.3">
      <c r="A409" s="2">
        <v>45674.958333333343</v>
      </c>
      <c r="B409">
        <f>4120.10371269785*(3/4)</f>
        <v>3090.0777845233897</v>
      </c>
    </row>
    <row r="410" spans="1:2" x14ac:dyDescent="0.3">
      <c r="A410" s="2">
        <v>45675</v>
      </c>
      <c r="B410">
        <f>4002.88061788492*(3/4)</f>
        <v>3002.1604634136902</v>
      </c>
    </row>
    <row r="411" spans="1:2" x14ac:dyDescent="0.3">
      <c r="A411" s="2">
        <v>45675.041666666657</v>
      </c>
      <c r="B411">
        <f>4466.37625012482*(3/4)</f>
        <v>3349.7821875936165</v>
      </c>
    </row>
    <row r="412" spans="1:2" x14ac:dyDescent="0.3">
      <c r="A412" s="2">
        <v>45675.083333333343</v>
      </c>
      <c r="B412">
        <f>4328.89183232004*(3/4)</f>
        <v>3246.6688742400329</v>
      </c>
    </row>
    <row r="413" spans="1:2" x14ac:dyDescent="0.3">
      <c r="A413" s="2">
        <v>45675.125</v>
      </c>
      <c r="B413">
        <f>4318.37968506604*(3/4)</f>
        <v>3238.7847637995314</v>
      </c>
    </row>
    <row r="414" spans="1:2" x14ac:dyDescent="0.3">
      <c r="A414" s="2">
        <v>45675.166666666657</v>
      </c>
      <c r="B414">
        <f>4247.63671853019*(3/4)</f>
        <v>3185.7275388976395</v>
      </c>
    </row>
    <row r="415" spans="1:2" x14ac:dyDescent="0.3">
      <c r="A415" s="2">
        <v>45675.208333333343</v>
      </c>
      <c r="B415">
        <f>4350.6711727121*(3/4)</f>
        <v>3263.0033795340764</v>
      </c>
    </row>
    <row r="416" spans="1:2" x14ac:dyDescent="0.3">
      <c r="A416" s="2">
        <v>45675.25</v>
      </c>
      <c r="B416">
        <f>4113.44330000919*(3/4)</f>
        <v>3085.0824750068923</v>
      </c>
    </row>
    <row r="417" spans="1:2" x14ac:dyDescent="0.3">
      <c r="A417" s="2">
        <v>45675.291666666657</v>
      </c>
      <c r="B417">
        <f>4187.8177157208*(3/4)</f>
        <v>3140.8632867905981</v>
      </c>
    </row>
    <row r="418" spans="1:2" x14ac:dyDescent="0.3">
      <c r="A418" s="2">
        <v>45675.333333333343</v>
      </c>
      <c r="B418">
        <f>4782.94628087107*(3/4)</f>
        <v>3587.2097106532988</v>
      </c>
    </row>
    <row r="419" spans="1:2" x14ac:dyDescent="0.3">
      <c r="A419" s="2">
        <v>45675.375</v>
      </c>
      <c r="B419">
        <f>4272.99149025746*(3/4)</f>
        <v>3204.7436176930951</v>
      </c>
    </row>
    <row r="420" spans="1:2" x14ac:dyDescent="0.3">
      <c r="A420" s="2">
        <v>45675.416666666657</v>
      </c>
      <c r="B420">
        <f>4431.43227876122*(3/4)</f>
        <v>3323.5742090709173</v>
      </c>
    </row>
    <row r="421" spans="1:2" x14ac:dyDescent="0.3">
      <c r="A421" s="2">
        <v>45675.458333333343</v>
      </c>
      <c r="B421">
        <f>4233.4875395271*(3/4)</f>
        <v>3175.1156546453217</v>
      </c>
    </row>
    <row r="422" spans="1:2" x14ac:dyDescent="0.3">
      <c r="A422" s="2">
        <v>45675.5</v>
      </c>
      <c r="B422">
        <f>4800*(3/4)</f>
        <v>3600</v>
      </c>
    </row>
    <row r="423" spans="1:2" x14ac:dyDescent="0.3">
      <c r="A423" s="2">
        <v>45675.541666666657</v>
      </c>
      <c r="B423">
        <f>4369.34899597212*(3/4)</f>
        <v>3277.0117469790912</v>
      </c>
    </row>
    <row r="424" spans="1:2" x14ac:dyDescent="0.3">
      <c r="A424" s="2">
        <v>45675.583333333343</v>
      </c>
      <c r="B424">
        <f>4258.1884481211*(3/4)</f>
        <v>3193.6413360908246</v>
      </c>
    </row>
    <row r="425" spans="1:2" x14ac:dyDescent="0.3">
      <c r="A425" s="2">
        <v>45675.625</v>
      </c>
      <c r="B425">
        <f>4237.0936922244*(3/4)</f>
        <v>3177.8202691682982</v>
      </c>
    </row>
    <row r="426" spans="1:2" x14ac:dyDescent="0.3">
      <c r="A426" s="2">
        <v>45675.666666666657</v>
      </c>
      <c r="B426">
        <f>4433.81572667958*(3/4)</f>
        <v>3325.3617950096832</v>
      </c>
    </row>
    <row r="427" spans="1:2" x14ac:dyDescent="0.3">
      <c r="A427" s="2">
        <v>45675.708333333343</v>
      </c>
      <c r="B427">
        <f>4408.1055032791*(3/4)</f>
        <v>3306.0791274593284</v>
      </c>
    </row>
    <row r="428" spans="1:2" x14ac:dyDescent="0.3">
      <c r="A428" s="2">
        <v>45675.75</v>
      </c>
      <c r="B428">
        <f>4775.24824668333*(3/4)</f>
        <v>3581.4361850124969</v>
      </c>
    </row>
    <row r="429" spans="1:2" x14ac:dyDescent="0.3">
      <c r="A429" s="2">
        <v>45675.791666666657</v>
      </c>
      <c r="B429">
        <f>4451.80821752543*(3/4)</f>
        <v>3338.8561631440743</v>
      </c>
    </row>
    <row r="430" spans="1:2" x14ac:dyDescent="0.3">
      <c r="A430" s="2">
        <v>45675.833333333343</v>
      </c>
      <c r="B430">
        <f>4314.96862608908*(3/4)</f>
        <v>3236.2264695668096</v>
      </c>
    </row>
    <row r="431" spans="1:2" x14ac:dyDescent="0.3">
      <c r="A431" s="2">
        <v>45675.875</v>
      </c>
      <c r="B431">
        <f>4256.07913695332*(3/4)</f>
        <v>3192.0593527149931</v>
      </c>
    </row>
    <row r="432" spans="1:2" x14ac:dyDescent="0.3">
      <c r="A432" s="2">
        <v>45675.916666666657</v>
      </c>
      <c r="B432">
        <f>4287.42103799404*(3/4)</f>
        <v>3215.5657784955283</v>
      </c>
    </row>
    <row r="433" spans="1:2" x14ac:dyDescent="0.3">
      <c r="A433" s="2">
        <v>45675.958333333343</v>
      </c>
      <c r="B433">
        <f>4424.82772542793*(3/4)</f>
        <v>3318.6207940709455</v>
      </c>
    </row>
    <row r="434" spans="1:2" x14ac:dyDescent="0.3">
      <c r="A434" s="2">
        <v>45676</v>
      </c>
      <c r="B434">
        <f>4349.38727468318*(3/4)</f>
        <v>3262.040456012387</v>
      </c>
    </row>
    <row r="435" spans="1:2" x14ac:dyDescent="0.3">
      <c r="A435" s="2">
        <v>45676.041666666657</v>
      </c>
      <c r="B435">
        <f>4538.9274965106*(3/4)</f>
        <v>3404.195622382952</v>
      </c>
    </row>
    <row r="436" spans="1:2" x14ac:dyDescent="0.3">
      <c r="A436" s="2">
        <v>45676.083333333343</v>
      </c>
      <c r="B436">
        <f>4449.8782309244*(3/4)</f>
        <v>3337.4086731932985</v>
      </c>
    </row>
    <row r="437" spans="1:2" x14ac:dyDescent="0.3">
      <c r="A437" s="2">
        <v>45676.125</v>
      </c>
      <c r="B437">
        <f>4221.27637014856*(3/4)</f>
        <v>3165.9572776114173</v>
      </c>
    </row>
    <row r="438" spans="1:2" x14ac:dyDescent="0.3">
      <c r="A438" s="2">
        <v>45676.166666666657</v>
      </c>
      <c r="B438">
        <f>4653.94708332141*(3/4)</f>
        <v>3490.4603124910573</v>
      </c>
    </row>
    <row r="439" spans="1:2" x14ac:dyDescent="0.3">
      <c r="A439" s="2">
        <v>45676.208333333343</v>
      </c>
      <c r="B439">
        <f>4396.28078718853*(3/4)</f>
        <v>3297.210590391398</v>
      </c>
    </row>
    <row r="440" spans="1:2" x14ac:dyDescent="0.3">
      <c r="A440" s="2">
        <v>45676.25</v>
      </c>
      <c r="B440">
        <f>4152.79286395829*(3/4)</f>
        <v>3114.5946479687159</v>
      </c>
    </row>
    <row r="441" spans="1:2" x14ac:dyDescent="0.3">
      <c r="A441" s="2">
        <v>45676.291666666657</v>
      </c>
      <c r="B441">
        <f>4362.53472407074*(3/4)</f>
        <v>3271.9010430530579</v>
      </c>
    </row>
    <row r="442" spans="1:2" x14ac:dyDescent="0.3">
      <c r="A442" s="2">
        <v>45676.333333333343</v>
      </c>
      <c r="B442">
        <f>3889.76252205826*(3/4)</f>
        <v>2917.3218915436928</v>
      </c>
    </row>
    <row r="443" spans="1:2" x14ac:dyDescent="0.3">
      <c r="A443" s="2">
        <v>45676.375</v>
      </c>
      <c r="B443">
        <f>3477.98577255833*(3/4)</f>
        <v>2608.4893294187495</v>
      </c>
    </row>
    <row r="444" spans="1:2" x14ac:dyDescent="0.3">
      <c r="A444" s="2">
        <v>45676.416666666657</v>
      </c>
      <c r="B444">
        <f>3442.44543637236*(3/4)</f>
        <v>2581.8340772792681</v>
      </c>
    </row>
    <row r="445" spans="1:2" x14ac:dyDescent="0.3">
      <c r="A445" s="2">
        <v>45676.458333333343</v>
      </c>
      <c r="B445">
        <f>3233.97336462184*(3/4)</f>
        <v>2425.480023466383</v>
      </c>
    </row>
    <row r="446" spans="1:2" x14ac:dyDescent="0.3">
      <c r="A446" s="2">
        <v>45676.5</v>
      </c>
      <c r="B446">
        <f>3684.41284496522*(3/4)</f>
        <v>2763.3096337239181</v>
      </c>
    </row>
    <row r="447" spans="1:2" x14ac:dyDescent="0.3">
      <c r="A447" s="2">
        <v>45676.541666666657</v>
      </c>
      <c r="B447">
        <f>3690.96433988867*(3/4)</f>
        <v>2768.2232549165028</v>
      </c>
    </row>
    <row r="448" spans="1:2" x14ac:dyDescent="0.3">
      <c r="A448" s="2">
        <v>45676.583333333343</v>
      </c>
      <c r="B448">
        <f>3504.21013792447*(3/4)</f>
        <v>2628.1576034433492</v>
      </c>
    </row>
    <row r="449" spans="1:2" x14ac:dyDescent="0.3">
      <c r="A449" s="2">
        <v>45676.625</v>
      </c>
      <c r="B449">
        <f>3269.39357430447*(3/4)</f>
        <v>2452.0451807283516</v>
      </c>
    </row>
    <row r="450" spans="1:2" x14ac:dyDescent="0.3">
      <c r="A450" s="2">
        <v>45676.666666666657</v>
      </c>
      <c r="B450">
        <f>3591.95554767637*(3/4)</f>
        <v>2693.9666607572772</v>
      </c>
    </row>
    <row r="451" spans="1:2" x14ac:dyDescent="0.3">
      <c r="A451" s="2">
        <v>45676.708333333343</v>
      </c>
      <c r="B451">
        <f>4424.27019027039*(3/4)</f>
        <v>3318.2026427027895</v>
      </c>
    </row>
    <row r="452" spans="1:2" x14ac:dyDescent="0.3">
      <c r="A452" s="2">
        <v>45676.75</v>
      </c>
      <c r="B452">
        <f>4417.77123205354*(3/4)</f>
        <v>3313.3284240401558</v>
      </c>
    </row>
    <row r="453" spans="1:2" x14ac:dyDescent="0.3">
      <c r="A453" s="2">
        <v>45676.791666666657</v>
      </c>
      <c r="B453">
        <f>4221.81530630142*(3/4)</f>
        <v>3166.3614797260675</v>
      </c>
    </row>
    <row r="454" spans="1:2" x14ac:dyDescent="0.3">
      <c r="A454" s="2">
        <v>45676.833333333343</v>
      </c>
      <c r="B454">
        <f>4785.68471195643*(3/4)</f>
        <v>3589.2635339673188</v>
      </c>
    </row>
    <row r="455" spans="1:2" x14ac:dyDescent="0.3">
      <c r="A455" s="2">
        <v>45676.875</v>
      </c>
      <c r="B455">
        <f>4719.31837041173*(3/4)</f>
        <v>3539.4887778087996</v>
      </c>
    </row>
    <row r="456" spans="1:2" x14ac:dyDescent="0.3">
      <c r="A456" s="2">
        <v>45676.916666666657</v>
      </c>
      <c r="B456">
        <f>3916.65608170901*(3/4)</f>
        <v>2937.4920612817591</v>
      </c>
    </row>
    <row r="457" spans="1:2" x14ac:dyDescent="0.3">
      <c r="A457" s="2">
        <v>45676.958333333343</v>
      </c>
      <c r="B457">
        <f>4078.58030386311*(3/4)</f>
        <v>3058.9352278973347</v>
      </c>
    </row>
    <row r="458" spans="1:2" x14ac:dyDescent="0.3">
      <c r="A458" s="2">
        <v>45677</v>
      </c>
      <c r="B458">
        <f>4375.62013819826*(3/4)</f>
        <v>3281.715103648693</v>
      </c>
    </row>
    <row r="459" spans="1:2" x14ac:dyDescent="0.3">
      <c r="A459" s="2">
        <v>45677.041666666657</v>
      </c>
      <c r="B459">
        <f>4521.64677562658*(3/4)</f>
        <v>3391.2350817199317</v>
      </c>
    </row>
    <row r="460" spans="1:2" x14ac:dyDescent="0.3">
      <c r="A460" s="2">
        <v>45677.083333333343</v>
      </c>
      <c r="B460">
        <f>4424.43036444387*(3/4)</f>
        <v>3318.3227733328995</v>
      </c>
    </row>
    <row r="461" spans="1:2" x14ac:dyDescent="0.3">
      <c r="A461" s="2">
        <v>45677.125</v>
      </c>
      <c r="B461">
        <f>4253.17914904669*(3/4)</f>
        <v>3189.8843617850157</v>
      </c>
    </row>
    <row r="462" spans="1:2" x14ac:dyDescent="0.3">
      <c r="A462" s="2">
        <v>45677.166666666657</v>
      </c>
      <c r="B462">
        <f>4479.55964981733*(3/4)</f>
        <v>3359.6697373629977</v>
      </c>
    </row>
    <row r="463" spans="1:2" x14ac:dyDescent="0.3">
      <c r="A463" s="2">
        <v>45677.208333333343</v>
      </c>
      <c r="B463">
        <f>4471.15586320416*(3/4)</f>
        <v>3353.3668974031225</v>
      </c>
    </row>
    <row r="464" spans="1:2" x14ac:dyDescent="0.3">
      <c r="A464" s="2">
        <v>45677.25</v>
      </c>
      <c r="B464">
        <f>4191.74733918613*(3/4)</f>
        <v>3143.8105043895998</v>
      </c>
    </row>
    <row r="465" spans="1:2" x14ac:dyDescent="0.3">
      <c r="A465" s="2">
        <v>45677.291666666657</v>
      </c>
      <c r="B465">
        <f>4270.97765217069*(3/4)</f>
        <v>3203.2332391280202</v>
      </c>
    </row>
    <row r="466" spans="1:2" x14ac:dyDescent="0.3">
      <c r="A466" s="2">
        <v>45677.333333333343</v>
      </c>
      <c r="B466">
        <f>4684.55531065985*(3/4)</f>
        <v>3513.416482994885</v>
      </c>
    </row>
    <row r="467" spans="1:2" x14ac:dyDescent="0.3">
      <c r="A467" s="2">
        <v>45677.375</v>
      </c>
      <c r="B467">
        <f>4369.55100559325*(3/4)</f>
        <v>3277.1632541949348</v>
      </c>
    </row>
    <row r="468" spans="1:2" x14ac:dyDescent="0.3">
      <c r="A468" s="2">
        <v>45677.416666666657</v>
      </c>
      <c r="B468">
        <f>4777.71031789449*(3/4)</f>
        <v>3583.2827384208658</v>
      </c>
    </row>
    <row r="469" spans="1:2" x14ac:dyDescent="0.3">
      <c r="A469" s="2">
        <v>45677.458333333343</v>
      </c>
      <c r="B469">
        <f>4670.57536498754*(3/4)</f>
        <v>3502.9315237406568</v>
      </c>
    </row>
    <row r="470" spans="1:2" x14ac:dyDescent="0.3">
      <c r="A470" s="2">
        <v>45677.5</v>
      </c>
      <c r="B470">
        <f>4058.17327516032*(3/4)</f>
        <v>3043.6299563702387</v>
      </c>
    </row>
    <row r="471" spans="1:2" x14ac:dyDescent="0.3">
      <c r="A471" s="2">
        <v>45677.541666666657</v>
      </c>
      <c r="B471">
        <f>4315.25928557383*(3/4)</f>
        <v>3236.4444641803734</v>
      </c>
    </row>
    <row r="472" spans="1:2" x14ac:dyDescent="0.3">
      <c r="A472" s="2">
        <v>45677.583333333343</v>
      </c>
      <c r="B472">
        <f>4051.77112722533*(3/4)</f>
        <v>3038.8283454189959</v>
      </c>
    </row>
    <row r="473" spans="1:2" x14ac:dyDescent="0.3">
      <c r="A473" s="2">
        <v>45677.625</v>
      </c>
      <c r="B473">
        <f>4480.86739825689*(3/4)</f>
        <v>3360.6505486926653</v>
      </c>
    </row>
    <row r="474" spans="1:2" x14ac:dyDescent="0.3">
      <c r="A474" s="2">
        <v>45677.666666666657</v>
      </c>
      <c r="B474">
        <f>4726.76776858921*(3/4)</f>
        <v>3545.0758264419055</v>
      </c>
    </row>
    <row r="475" spans="1:2" x14ac:dyDescent="0.3">
      <c r="A475" s="2">
        <v>45677.708333333343</v>
      </c>
      <c r="B475">
        <f>4488.27834209986*(3/4)</f>
        <v>3366.2087565748934</v>
      </c>
    </row>
    <row r="476" spans="1:2" x14ac:dyDescent="0.3">
      <c r="A476" s="2">
        <v>45677.75</v>
      </c>
      <c r="B476">
        <f>4216.16833828536*(3/4)</f>
        <v>3162.1262537140192</v>
      </c>
    </row>
    <row r="477" spans="1:2" x14ac:dyDescent="0.3">
      <c r="A477" s="2">
        <v>45677.791666666657</v>
      </c>
      <c r="B477">
        <f>4445.16637898819*(3/4)</f>
        <v>3333.8747842411412</v>
      </c>
    </row>
    <row r="478" spans="1:2" x14ac:dyDescent="0.3">
      <c r="A478" s="2">
        <v>45677.833333333343</v>
      </c>
      <c r="B478">
        <f>4568.03380146324*(3/4)</f>
        <v>3426.0253510974335</v>
      </c>
    </row>
    <row r="479" spans="1:2" x14ac:dyDescent="0.3">
      <c r="A479" s="2">
        <v>45677.875</v>
      </c>
      <c r="B479">
        <f>4370.34019391562*(3/4)</f>
        <v>3277.7551454367117</v>
      </c>
    </row>
    <row r="480" spans="1:2" x14ac:dyDescent="0.3">
      <c r="A480" s="2">
        <v>45677.916666666657</v>
      </c>
      <c r="B480">
        <f>3920.64000805255*(3/4)</f>
        <v>2940.4800060394155</v>
      </c>
    </row>
    <row r="481" spans="1:2" x14ac:dyDescent="0.3">
      <c r="A481" s="2">
        <v>45677.958333333343</v>
      </c>
      <c r="B481">
        <f>4204.96463724797*(3/4)</f>
        <v>3153.7234779359796</v>
      </c>
    </row>
    <row r="482" spans="1:2" x14ac:dyDescent="0.3">
      <c r="A482" s="2">
        <v>45678</v>
      </c>
      <c r="B482">
        <f>4551.96202087554*(3/4)</f>
        <v>3413.9715156566513</v>
      </c>
    </row>
    <row r="483" spans="1:2" x14ac:dyDescent="0.3">
      <c r="A483" s="2">
        <v>45678.041666666657</v>
      </c>
      <c r="B483">
        <f>4447.76820943937*(3/4)</f>
        <v>3335.8261570795275</v>
      </c>
    </row>
    <row r="484" spans="1:2" x14ac:dyDescent="0.3">
      <c r="A484" s="2">
        <v>45678.083333333343</v>
      </c>
      <c r="B484">
        <f>4449.07102223749*(3/4)</f>
        <v>3336.8032666781196</v>
      </c>
    </row>
    <row r="485" spans="1:2" x14ac:dyDescent="0.3">
      <c r="A485" s="2">
        <v>45678.125</v>
      </c>
      <c r="B485">
        <f>4096.7531677096*(3/4)</f>
        <v>3072.5648757822</v>
      </c>
    </row>
    <row r="486" spans="1:2" x14ac:dyDescent="0.3">
      <c r="A486" s="2">
        <v>45678.166666666657</v>
      </c>
      <c r="B486">
        <f>4449.52789763673*(3/4)</f>
        <v>3337.1459232275474</v>
      </c>
    </row>
    <row r="487" spans="1:2" x14ac:dyDescent="0.3">
      <c r="A487" s="2">
        <v>45678.208333333343</v>
      </c>
      <c r="B487">
        <f>4089.75149533642*(3/4)</f>
        <v>3067.313621502316</v>
      </c>
    </row>
    <row r="488" spans="1:2" x14ac:dyDescent="0.3">
      <c r="A488" s="2">
        <v>45678.25</v>
      </c>
      <c r="B488">
        <f>4334.99313574964*(3/4)</f>
        <v>3251.244851812231</v>
      </c>
    </row>
    <row r="489" spans="1:2" x14ac:dyDescent="0.3">
      <c r="A489" s="2">
        <v>45678.291666666657</v>
      </c>
      <c r="B489">
        <f>4285.07425494127*(3/4)</f>
        <v>3213.8056912059492</v>
      </c>
    </row>
    <row r="490" spans="1:2" x14ac:dyDescent="0.3">
      <c r="A490" s="2">
        <v>45678.333333333343</v>
      </c>
      <c r="B490">
        <f>4382.91406869363*(3/4)</f>
        <v>3287.185551520226</v>
      </c>
    </row>
    <row r="491" spans="1:2" x14ac:dyDescent="0.3">
      <c r="A491" s="2">
        <v>45678.375</v>
      </c>
      <c r="B491">
        <f>4145.37068927394*(3/4)</f>
        <v>3109.0280169554553</v>
      </c>
    </row>
    <row r="492" spans="1:2" x14ac:dyDescent="0.3">
      <c r="A492" s="2">
        <v>45678.416666666657</v>
      </c>
      <c r="B492">
        <f>4496.68989638217*(3/4)</f>
        <v>3372.5174222866281</v>
      </c>
    </row>
    <row r="493" spans="1:2" x14ac:dyDescent="0.3">
      <c r="A493" s="2">
        <v>45678.458333333343</v>
      </c>
      <c r="B493">
        <f>4599.39036441842*(3/4)</f>
        <v>3449.5427733138145</v>
      </c>
    </row>
    <row r="494" spans="1:2" x14ac:dyDescent="0.3">
      <c r="A494" s="2">
        <v>45678.5</v>
      </c>
      <c r="B494">
        <f>4327.17804212443*(3/4)</f>
        <v>3245.3835315933202</v>
      </c>
    </row>
    <row r="495" spans="1:2" x14ac:dyDescent="0.3">
      <c r="A495" s="2">
        <v>45678.541666666657</v>
      </c>
      <c r="B495">
        <f>4265.1348581155*(3/4)</f>
        <v>3198.8511435866221</v>
      </c>
    </row>
    <row r="496" spans="1:2" x14ac:dyDescent="0.3">
      <c r="A496" s="2">
        <v>45678.583333333343</v>
      </c>
      <c r="B496">
        <f>3994.3801037602*(3/4)</f>
        <v>2995.7850778201509</v>
      </c>
    </row>
    <row r="497" spans="1:2" x14ac:dyDescent="0.3">
      <c r="A497" s="2">
        <v>45678.625</v>
      </c>
      <c r="B497">
        <f>4360.90303632141*(3/4)</f>
        <v>3270.6772772410545</v>
      </c>
    </row>
    <row r="498" spans="1:2" x14ac:dyDescent="0.3">
      <c r="A498" s="2">
        <v>45678.666666666657</v>
      </c>
      <c r="B498">
        <f>4445.03840454808*(3/4)</f>
        <v>3333.7788034110581</v>
      </c>
    </row>
    <row r="499" spans="1:2" x14ac:dyDescent="0.3">
      <c r="A499" s="2">
        <v>45678.708333333343</v>
      </c>
      <c r="B499">
        <f>4576.46346841864*(3/4)</f>
        <v>3432.3476013139825</v>
      </c>
    </row>
    <row r="500" spans="1:2" x14ac:dyDescent="0.3">
      <c r="A500" s="2">
        <v>45678.75</v>
      </c>
      <c r="B500">
        <f>4218.01572152869*(3/4)</f>
        <v>3163.5117911465181</v>
      </c>
    </row>
    <row r="501" spans="1:2" x14ac:dyDescent="0.3">
      <c r="A501" s="2">
        <v>45678.791666666657</v>
      </c>
      <c r="B501">
        <f>4311.48509299339*(3/4)</f>
        <v>3233.6138197450405</v>
      </c>
    </row>
    <row r="502" spans="1:2" x14ac:dyDescent="0.3">
      <c r="A502" s="2">
        <v>45678.833333333343</v>
      </c>
      <c r="B502">
        <f>4583.13904431258*(3/4)</f>
        <v>3437.3542832344365</v>
      </c>
    </row>
    <row r="503" spans="1:2" x14ac:dyDescent="0.3">
      <c r="A503" s="2">
        <v>45678.875</v>
      </c>
      <c r="B503">
        <f>4650.74880198447*(3/4)</f>
        <v>3488.0616014883535</v>
      </c>
    </row>
    <row r="504" spans="1:2" x14ac:dyDescent="0.3">
      <c r="A504" s="2">
        <v>45678.916666666657</v>
      </c>
      <c r="B504">
        <f>4430.04290817376*(3/4)</f>
        <v>3322.5321811303215</v>
      </c>
    </row>
    <row r="505" spans="1:2" x14ac:dyDescent="0.3">
      <c r="A505" s="2">
        <v>45678.958333333343</v>
      </c>
      <c r="B505">
        <f>4346.31695751903*(3/4)</f>
        <v>3259.7377181392694</v>
      </c>
    </row>
    <row r="506" spans="1:2" x14ac:dyDescent="0.3">
      <c r="A506" s="2">
        <v>45679</v>
      </c>
      <c r="B506">
        <f>4546.53229462563*(3/4)</f>
        <v>3409.8992209692251</v>
      </c>
    </row>
    <row r="507" spans="1:2" x14ac:dyDescent="0.3">
      <c r="A507" s="2">
        <v>45679.041666666657</v>
      </c>
      <c r="B507">
        <f>4471.54286195621*(3/4)</f>
        <v>3353.6571464671542</v>
      </c>
    </row>
    <row r="508" spans="1:2" x14ac:dyDescent="0.3">
      <c r="A508" s="2">
        <v>45679.083333333343</v>
      </c>
      <c r="B508">
        <f>4315.77632131522*(3/4)</f>
        <v>3236.8322409864145</v>
      </c>
    </row>
    <row r="509" spans="1:2" x14ac:dyDescent="0.3">
      <c r="A509" s="2">
        <v>45679.125</v>
      </c>
      <c r="B509">
        <f>4436.17327315056*(3/4)</f>
        <v>3327.1299548629222</v>
      </c>
    </row>
    <row r="510" spans="1:2" x14ac:dyDescent="0.3">
      <c r="A510" s="2">
        <v>45679.166666666657</v>
      </c>
      <c r="B510">
        <f>4480.75431743569*(3/4)</f>
        <v>3360.5657380767661</v>
      </c>
    </row>
    <row r="511" spans="1:2" x14ac:dyDescent="0.3">
      <c r="A511" s="2">
        <v>45679.208333333343</v>
      </c>
      <c r="B511">
        <f>4018.69364697753*(3/4)</f>
        <v>3014.0202352331453</v>
      </c>
    </row>
    <row r="512" spans="1:2" x14ac:dyDescent="0.3">
      <c r="A512" s="2">
        <v>45679.25</v>
      </c>
      <c r="B512">
        <f>4298.49141132745*(3/4)</f>
        <v>3223.8685584955911</v>
      </c>
    </row>
    <row r="513" spans="1:2" x14ac:dyDescent="0.3">
      <c r="A513" s="2">
        <v>45679.291666666657</v>
      </c>
      <c r="B513">
        <f>4190.50393026406*(3/4)</f>
        <v>3142.8779476980449</v>
      </c>
    </row>
    <row r="514" spans="1:2" x14ac:dyDescent="0.3">
      <c r="A514" s="2">
        <v>45679.333333333343</v>
      </c>
      <c r="B514">
        <f>4800*(3/4)</f>
        <v>3600</v>
      </c>
    </row>
    <row r="515" spans="1:2" x14ac:dyDescent="0.3">
      <c r="A515" s="2">
        <v>45679.375</v>
      </c>
      <c r="B515">
        <f>4557.12772688116*(3/4)</f>
        <v>3417.8457951608707</v>
      </c>
    </row>
    <row r="516" spans="1:2" x14ac:dyDescent="0.3">
      <c r="A516" s="2">
        <v>45679.416666666657</v>
      </c>
      <c r="B516">
        <f>4407.67363579536*(3/4)</f>
        <v>3305.7552268465197</v>
      </c>
    </row>
    <row r="517" spans="1:2" x14ac:dyDescent="0.3">
      <c r="A517" s="2">
        <v>45679.458333333343</v>
      </c>
      <c r="B517">
        <f>4463.9614634736*(3/4)</f>
        <v>3347.9710976052033</v>
      </c>
    </row>
    <row r="518" spans="1:2" x14ac:dyDescent="0.3">
      <c r="A518" s="2">
        <v>45679.5</v>
      </c>
      <c r="B518">
        <f>4764.4787175322*(3/4)</f>
        <v>3573.3590381491504</v>
      </c>
    </row>
    <row r="519" spans="1:2" x14ac:dyDescent="0.3">
      <c r="A519" s="2">
        <v>45679.541666666657</v>
      </c>
      <c r="B519">
        <f>4404.67501523377*(3/4)</f>
        <v>3303.5062614253293</v>
      </c>
    </row>
    <row r="520" spans="1:2" x14ac:dyDescent="0.3">
      <c r="A520" s="2">
        <v>45679.583333333343</v>
      </c>
      <c r="B520">
        <f>3926.04151602112*(3/4)</f>
        <v>2944.5311370158392</v>
      </c>
    </row>
    <row r="521" spans="1:2" x14ac:dyDescent="0.3">
      <c r="A521" s="2">
        <v>45679.625</v>
      </c>
      <c r="B521">
        <f>4538.72807482099*(3/4)</f>
        <v>3404.0460561157433</v>
      </c>
    </row>
    <row r="522" spans="1:2" x14ac:dyDescent="0.3">
      <c r="A522" s="2">
        <v>45679.666666666657</v>
      </c>
      <c r="B522">
        <f>4706.07157265764*(3/4)</f>
        <v>3529.5536794932277</v>
      </c>
    </row>
    <row r="523" spans="1:2" x14ac:dyDescent="0.3">
      <c r="A523" s="2">
        <v>45679.708333333343</v>
      </c>
      <c r="B523">
        <f>4406.42393505517*(3/4)</f>
        <v>3304.8179512913766</v>
      </c>
    </row>
    <row r="524" spans="1:2" x14ac:dyDescent="0.3">
      <c r="A524" s="2">
        <v>45679.75</v>
      </c>
      <c r="B524">
        <f>4297.29164541546*(3/4)</f>
        <v>3222.9687340615965</v>
      </c>
    </row>
    <row r="525" spans="1:2" x14ac:dyDescent="0.3">
      <c r="A525" s="2">
        <v>45679.791666666657</v>
      </c>
      <c r="B525">
        <f>4277.75954348183*(3/4)</f>
        <v>3208.3196576113714</v>
      </c>
    </row>
    <row r="526" spans="1:2" x14ac:dyDescent="0.3">
      <c r="A526" s="2">
        <v>45679.833333333343</v>
      </c>
      <c r="B526">
        <f>4640.59218361696*(3/4)</f>
        <v>3480.4441377127232</v>
      </c>
    </row>
    <row r="527" spans="1:2" x14ac:dyDescent="0.3">
      <c r="A527" s="2">
        <v>45679.875</v>
      </c>
      <c r="B527">
        <f>4141.00651785464*(3/4)</f>
        <v>3105.7548883909803</v>
      </c>
    </row>
    <row r="528" spans="1:2" x14ac:dyDescent="0.3">
      <c r="A528" s="2">
        <v>45679.916666666657</v>
      </c>
      <c r="B528">
        <f>4173.06744105994*(3/4)</f>
        <v>3129.8005807949557</v>
      </c>
    </row>
    <row r="529" spans="1:2" x14ac:dyDescent="0.3">
      <c r="A529" s="2">
        <v>45679.958333333343</v>
      </c>
      <c r="B529">
        <f>4378.77726008726*(3/4)</f>
        <v>3284.0829450654437</v>
      </c>
    </row>
    <row r="530" spans="1:2" x14ac:dyDescent="0.3">
      <c r="A530" s="2">
        <v>45680</v>
      </c>
      <c r="B530">
        <f>4463.73259333706*(3/4)</f>
        <v>3347.7994450027959</v>
      </c>
    </row>
    <row r="531" spans="1:2" x14ac:dyDescent="0.3">
      <c r="A531" s="2">
        <v>45680.041666666657</v>
      </c>
      <c r="B531">
        <f>4110.01499605765*(3/4)</f>
        <v>3082.5112470432409</v>
      </c>
    </row>
    <row r="532" spans="1:2" x14ac:dyDescent="0.3">
      <c r="A532" s="2">
        <v>45680.083333333343</v>
      </c>
      <c r="B532">
        <f>4476.79802478617*(3/4)</f>
        <v>3357.5985185896252</v>
      </c>
    </row>
    <row r="533" spans="1:2" x14ac:dyDescent="0.3">
      <c r="A533" s="2">
        <v>45680.125</v>
      </c>
      <c r="B533">
        <f>4589.7617389935*(3/4)</f>
        <v>3442.3213042451289</v>
      </c>
    </row>
    <row r="534" spans="1:2" x14ac:dyDescent="0.3">
      <c r="A534" s="2">
        <v>45680.166666666657</v>
      </c>
      <c r="B534">
        <f>4491.43888776901*(3/4)</f>
        <v>3368.5791658267544</v>
      </c>
    </row>
    <row r="535" spans="1:2" x14ac:dyDescent="0.3">
      <c r="A535" s="2">
        <v>45680.208333333343</v>
      </c>
      <c r="B535">
        <f>4428.59640444987*(3/4)</f>
        <v>3321.4473033374015</v>
      </c>
    </row>
    <row r="536" spans="1:2" x14ac:dyDescent="0.3">
      <c r="A536" s="2">
        <v>45680.25</v>
      </c>
      <c r="B536">
        <f>4158.83510906214*(3/4)</f>
        <v>3119.1263317966077</v>
      </c>
    </row>
    <row r="537" spans="1:2" x14ac:dyDescent="0.3">
      <c r="A537" s="2">
        <v>45680.291666666657</v>
      </c>
      <c r="B537">
        <f>4537.15031763966*(3/4)</f>
        <v>3402.8627382297436</v>
      </c>
    </row>
    <row r="538" spans="1:2" x14ac:dyDescent="0.3">
      <c r="A538" s="2">
        <v>45680.333333333343</v>
      </c>
      <c r="B538">
        <f>4623.08560117211*(3/4)</f>
        <v>3467.3142008790796</v>
      </c>
    </row>
    <row r="539" spans="1:2" x14ac:dyDescent="0.3">
      <c r="A539" s="2">
        <v>45680.375</v>
      </c>
      <c r="B539">
        <f>4621.35387369885*(3/4)</f>
        <v>3466.0154052741391</v>
      </c>
    </row>
    <row r="540" spans="1:2" x14ac:dyDescent="0.3">
      <c r="A540" s="2">
        <v>45680.416666666657</v>
      </c>
      <c r="B540">
        <f>4647.02766921173*(3/4)</f>
        <v>3485.270751908799</v>
      </c>
    </row>
    <row r="541" spans="1:2" x14ac:dyDescent="0.3">
      <c r="A541" s="2">
        <v>45680.458333333343</v>
      </c>
      <c r="B541">
        <f>4617.76249482941*(3/4)</f>
        <v>3463.3218711220566</v>
      </c>
    </row>
    <row r="542" spans="1:2" x14ac:dyDescent="0.3">
      <c r="A542" s="2">
        <v>45680.5</v>
      </c>
      <c r="B542">
        <f>4409.67030861543*(3/4)</f>
        <v>3307.2527314615745</v>
      </c>
    </row>
    <row r="543" spans="1:2" x14ac:dyDescent="0.3">
      <c r="A543" s="2">
        <v>45680.541666666657</v>
      </c>
      <c r="B543">
        <f>4261.45327003756*(3/4)</f>
        <v>3196.089952528172</v>
      </c>
    </row>
    <row r="544" spans="1:2" x14ac:dyDescent="0.3">
      <c r="A544" s="2">
        <v>45680.583333333343</v>
      </c>
      <c r="B544">
        <f>4199.5190353723*(3/4)</f>
        <v>3149.6392765292217</v>
      </c>
    </row>
    <row r="545" spans="1:2" x14ac:dyDescent="0.3">
      <c r="A545" s="2">
        <v>45680.625</v>
      </c>
      <c r="B545">
        <f>4455.76367401941*(3/4)</f>
        <v>3341.8227555145568</v>
      </c>
    </row>
    <row r="546" spans="1:2" x14ac:dyDescent="0.3">
      <c r="A546" s="2">
        <v>45680.666666666657</v>
      </c>
      <c r="B546">
        <f>4510.46484706703*(3/4)</f>
        <v>3382.8486353002754</v>
      </c>
    </row>
    <row r="547" spans="1:2" x14ac:dyDescent="0.3">
      <c r="A547" s="2">
        <v>45680.708333333343</v>
      </c>
      <c r="B547">
        <f>4566.09534242921*(3/4)</f>
        <v>3424.571506821907</v>
      </c>
    </row>
    <row r="548" spans="1:2" x14ac:dyDescent="0.3">
      <c r="A548" s="2">
        <v>45680.75</v>
      </c>
      <c r="B548">
        <f>4261.14957836327*(3/4)</f>
        <v>3195.8621837724504</v>
      </c>
    </row>
    <row r="549" spans="1:2" x14ac:dyDescent="0.3">
      <c r="A549" s="2">
        <v>45680.791666666657</v>
      </c>
      <c r="B549">
        <f>4392.35966145079*(3/4)</f>
        <v>3294.2697460880909</v>
      </c>
    </row>
    <row r="550" spans="1:2" x14ac:dyDescent="0.3">
      <c r="A550" s="2">
        <v>45680.833333333343</v>
      </c>
      <c r="B550">
        <f>3429.97608775639*(3/4)</f>
        <v>2572.4820658172903</v>
      </c>
    </row>
    <row r="551" spans="1:2" x14ac:dyDescent="0.3">
      <c r="A551" s="2">
        <v>45680.875</v>
      </c>
      <c r="B551">
        <f>4521.57421001042*(3/4)</f>
        <v>3391.1806575078135</v>
      </c>
    </row>
    <row r="552" spans="1:2" x14ac:dyDescent="0.3">
      <c r="A552" s="2">
        <v>45680.916666666657</v>
      </c>
      <c r="B552">
        <f>4433.33454719159*(3/4)</f>
        <v>3325.0009103936918</v>
      </c>
    </row>
    <row r="553" spans="1:2" x14ac:dyDescent="0.3">
      <c r="A553" s="2">
        <v>45680.958333333343</v>
      </c>
      <c r="B553">
        <f>4189.71219154972*(3/4)</f>
        <v>3142.284143662288</v>
      </c>
    </row>
    <row r="554" spans="1:2" x14ac:dyDescent="0.3">
      <c r="A554" s="2">
        <v>45681</v>
      </c>
      <c r="B554">
        <f>4268.40079190527*(3/4)</f>
        <v>3201.3005939289515</v>
      </c>
    </row>
    <row r="555" spans="1:2" x14ac:dyDescent="0.3">
      <c r="A555" s="2">
        <v>45681.041666666657</v>
      </c>
      <c r="B555">
        <f>4190.55169104475*(3/4)</f>
        <v>3142.9137682835653</v>
      </c>
    </row>
    <row r="556" spans="1:2" x14ac:dyDescent="0.3">
      <c r="A556" s="2">
        <v>45681.083333333343</v>
      </c>
      <c r="B556">
        <f>4465.07772510754*(3/4)</f>
        <v>3348.8082938306516</v>
      </c>
    </row>
    <row r="557" spans="1:2" x14ac:dyDescent="0.3">
      <c r="A557" s="2">
        <v>45681.125</v>
      </c>
      <c r="B557">
        <f>4282.77154101071*(3/4)</f>
        <v>3212.07865575803</v>
      </c>
    </row>
    <row r="558" spans="1:2" x14ac:dyDescent="0.3">
      <c r="A558" s="2">
        <v>45681.166666666657</v>
      </c>
      <c r="B558">
        <f>4425.93646950053*(3/4)</f>
        <v>3319.4523521253973</v>
      </c>
    </row>
    <row r="559" spans="1:2" x14ac:dyDescent="0.3">
      <c r="A559" s="2">
        <v>45681.208333333343</v>
      </c>
      <c r="B559">
        <f>4377.00592461676*(3/4)</f>
        <v>3282.7544434625734</v>
      </c>
    </row>
    <row r="560" spans="1:2" x14ac:dyDescent="0.3">
      <c r="A560" s="2">
        <v>45681.25</v>
      </c>
      <c r="B560">
        <f>4021.04838643696*(3/4)</f>
        <v>3015.7862898277222</v>
      </c>
    </row>
    <row r="561" spans="1:2" x14ac:dyDescent="0.3">
      <c r="A561" s="2">
        <v>45681.291666666657</v>
      </c>
      <c r="B561">
        <f>4535.85444102198*(3/4)</f>
        <v>3401.8908307664869</v>
      </c>
    </row>
    <row r="562" spans="1:2" x14ac:dyDescent="0.3">
      <c r="A562" s="2">
        <v>45681.333333333343</v>
      </c>
      <c r="B562">
        <f>4800*(3/4)</f>
        <v>3600</v>
      </c>
    </row>
    <row r="563" spans="1:2" x14ac:dyDescent="0.3">
      <c r="A563" s="2">
        <v>45681.375</v>
      </c>
      <c r="B563">
        <f>4370.22010511124*(3/4)</f>
        <v>3277.6650788334282</v>
      </c>
    </row>
    <row r="564" spans="1:2" x14ac:dyDescent="0.3">
      <c r="A564" s="2">
        <v>45681.416666666657</v>
      </c>
      <c r="B564">
        <f>4613.45351527713*(3/4)</f>
        <v>3460.090136457844</v>
      </c>
    </row>
    <row r="565" spans="1:2" x14ac:dyDescent="0.3">
      <c r="A565" s="2">
        <v>45681.458333333343</v>
      </c>
      <c r="B565">
        <f>4654.18318221366*(3/4)</f>
        <v>3490.6373866602485</v>
      </c>
    </row>
    <row r="566" spans="1:2" x14ac:dyDescent="0.3">
      <c r="A566" s="2">
        <v>45681.5</v>
      </c>
      <c r="B566">
        <f>4800*(3/4)</f>
        <v>3600</v>
      </c>
    </row>
    <row r="567" spans="1:2" x14ac:dyDescent="0.3">
      <c r="A567" s="2">
        <v>45681.541666666657</v>
      </c>
      <c r="B567">
        <f>4565.91297284999*(3/4)</f>
        <v>3424.4347296374908</v>
      </c>
    </row>
    <row r="568" spans="1:2" x14ac:dyDescent="0.3">
      <c r="A568" s="2">
        <v>45681.583333333343</v>
      </c>
      <c r="B568">
        <f>4090.75508702864*(3/4)</f>
        <v>3068.0663152714833</v>
      </c>
    </row>
    <row r="569" spans="1:2" x14ac:dyDescent="0.3">
      <c r="A569" s="2">
        <v>45681.625</v>
      </c>
      <c r="B569">
        <f>4332.37004019022*(3/4)</f>
        <v>3249.2775301426655</v>
      </c>
    </row>
    <row r="570" spans="1:2" x14ac:dyDescent="0.3">
      <c r="A570" s="2">
        <v>45681.666666666657</v>
      </c>
      <c r="B570">
        <f>4462.75482617602*(3/4)</f>
        <v>3347.0661196320134</v>
      </c>
    </row>
    <row r="571" spans="1:2" x14ac:dyDescent="0.3">
      <c r="A571" s="2">
        <v>45681.708333333343</v>
      </c>
      <c r="B571">
        <f>4585.71510983475*(3/4)</f>
        <v>3439.2863323760635</v>
      </c>
    </row>
    <row r="572" spans="1:2" x14ac:dyDescent="0.3">
      <c r="A572" s="2">
        <v>45681.75</v>
      </c>
      <c r="B572">
        <f>4375.76073454627*(3/4)</f>
        <v>3281.8205509097047</v>
      </c>
    </row>
    <row r="573" spans="1:2" x14ac:dyDescent="0.3">
      <c r="A573" s="2">
        <v>45681.791666666657</v>
      </c>
      <c r="B573">
        <f>4422.9435022034*(3/4)</f>
        <v>3317.2076266525501</v>
      </c>
    </row>
    <row r="574" spans="1:2" x14ac:dyDescent="0.3">
      <c r="A574" s="2">
        <v>45681.833333333343</v>
      </c>
      <c r="B574">
        <f>4615.39743436614*(3/4)</f>
        <v>3461.5480757746054</v>
      </c>
    </row>
    <row r="575" spans="1:2" x14ac:dyDescent="0.3">
      <c r="A575" s="2">
        <v>45681.875</v>
      </c>
      <c r="B575">
        <f>4292.30725392599*(3/4)</f>
        <v>3219.2304404444926</v>
      </c>
    </row>
    <row r="576" spans="1:2" x14ac:dyDescent="0.3">
      <c r="A576" s="2">
        <v>45681.916666666657</v>
      </c>
      <c r="B576">
        <f>3927.76937987815*(3/4)</f>
        <v>2945.8270349086115</v>
      </c>
    </row>
    <row r="577" spans="1:2" x14ac:dyDescent="0.3">
      <c r="A577" s="2">
        <v>45681.958333333343</v>
      </c>
      <c r="B577">
        <f>4066.78445580089*(3/4)</f>
        <v>3050.088341850666</v>
      </c>
    </row>
    <row r="578" spans="1:2" x14ac:dyDescent="0.3">
      <c r="A578" s="2">
        <v>45682</v>
      </c>
      <c r="B578">
        <f>3811.4689775507*(3/4)</f>
        <v>2858.6017331630251</v>
      </c>
    </row>
    <row r="579" spans="1:2" x14ac:dyDescent="0.3">
      <c r="A579" s="2">
        <v>45682.041666666657</v>
      </c>
      <c r="B579">
        <f>4314.43663739558*(3/4)</f>
        <v>3235.8274780466845</v>
      </c>
    </row>
    <row r="580" spans="1:2" x14ac:dyDescent="0.3">
      <c r="A580" s="2">
        <v>45682.083333333343</v>
      </c>
      <c r="B580">
        <f>4268.28574186246*(3/4)</f>
        <v>3201.2143063968415</v>
      </c>
    </row>
    <row r="581" spans="1:2" x14ac:dyDescent="0.3">
      <c r="A581" s="2">
        <v>45682.125</v>
      </c>
      <c r="B581">
        <f>4317.30305701585*(3/4)</f>
        <v>3237.9772927618842</v>
      </c>
    </row>
    <row r="582" spans="1:2" x14ac:dyDescent="0.3">
      <c r="A582" s="2">
        <v>45682.166666666657</v>
      </c>
      <c r="B582">
        <f>4317.07942495789*(3/4)</f>
        <v>3237.8095687184141</v>
      </c>
    </row>
    <row r="583" spans="1:2" x14ac:dyDescent="0.3">
      <c r="A583" s="2">
        <v>45682.208333333343</v>
      </c>
      <c r="B583">
        <f>4216.73220003281*(3/4)</f>
        <v>3162.5491500246085</v>
      </c>
    </row>
    <row r="584" spans="1:2" x14ac:dyDescent="0.3">
      <c r="A584" s="2">
        <v>45682.25</v>
      </c>
      <c r="B584">
        <f>4425.83546234521*(3/4)</f>
        <v>3319.3765967589038</v>
      </c>
    </row>
    <row r="585" spans="1:2" x14ac:dyDescent="0.3">
      <c r="A585" s="2">
        <v>45682.291666666657</v>
      </c>
      <c r="B585">
        <f>4380.58055909*(3/4)</f>
        <v>3285.4354193175022</v>
      </c>
    </row>
    <row r="586" spans="1:2" x14ac:dyDescent="0.3">
      <c r="A586" s="2">
        <v>45682.333333333343</v>
      </c>
      <c r="B586">
        <f>4800*(3/4)</f>
        <v>3600</v>
      </c>
    </row>
    <row r="587" spans="1:2" x14ac:dyDescent="0.3">
      <c r="A587" s="2">
        <v>45682.375</v>
      </c>
      <c r="B587">
        <f>4578.57317671136*(3/4)</f>
        <v>3433.929882533519</v>
      </c>
    </row>
    <row r="588" spans="1:2" x14ac:dyDescent="0.3">
      <c r="A588" s="2">
        <v>45682.416666666657</v>
      </c>
      <c r="B588">
        <f>4508.15746630109*(3/4)</f>
        <v>3381.1180997258139</v>
      </c>
    </row>
    <row r="589" spans="1:2" x14ac:dyDescent="0.3">
      <c r="A589" s="2">
        <v>45682.458333333343</v>
      </c>
      <c r="B589">
        <f>4240.34758116102*(3/4)</f>
        <v>3180.260685870765</v>
      </c>
    </row>
    <row r="590" spans="1:2" x14ac:dyDescent="0.3">
      <c r="A590" s="2">
        <v>45682.5</v>
      </c>
      <c r="B590">
        <f>4217.75004528095*(3/4)</f>
        <v>3163.3125339607118</v>
      </c>
    </row>
    <row r="591" spans="1:2" x14ac:dyDescent="0.3">
      <c r="A591" s="2">
        <v>45682.541666666657</v>
      </c>
      <c r="B591">
        <f>4179.93245992959*(3/4)</f>
        <v>3134.9493449471888</v>
      </c>
    </row>
    <row r="592" spans="1:2" x14ac:dyDescent="0.3">
      <c r="A592" s="2">
        <v>45682.583333333343</v>
      </c>
      <c r="B592">
        <f>4193.61930974469*(3/4)</f>
        <v>3145.2144823085205</v>
      </c>
    </row>
    <row r="593" spans="1:2" x14ac:dyDescent="0.3">
      <c r="A593" s="2">
        <v>45682.625</v>
      </c>
      <c r="B593">
        <f>4290.63264618108*(3/4)</f>
        <v>3217.974484635808</v>
      </c>
    </row>
    <row r="594" spans="1:2" x14ac:dyDescent="0.3">
      <c r="A594" s="2">
        <v>45682.666666666657</v>
      </c>
      <c r="B594">
        <f>4800*(3/4)</f>
        <v>3600</v>
      </c>
    </row>
    <row r="595" spans="1:2" x14ac:dyDescent="0.3">
      <c r="A595" s="2">
        <v>45682.708333333343</v>
      </c>
      <c r="B595">
        <f>4611.08868087257*(3/4)</f>
        <v>3458.3165106544275</v>
      </c>
    </row>
    <row r="596" spans="1:2" x14ac:dyDescent="0.3">
      <c r="A596" s="2">
        <v>45682.75</v>
      </c>
      <c r="B596">
        <f>4364.60942529582*(3/4)</f>
        <v>3273.4570689718671</v>
      </c>
    </row>
    <row r="597" spans="1:2" x14ac:dyDescent="0.3">
      <c r="A597" s="2">
        <v>45682.791666666657</v>
      </c>
      <c r="B597">
        <f>4422.91920997624*(3/4)</f>
        <v>3317.1894074821812</v>
      </c>
    </row>
    <row r="598" spans="1:2" x14ac:dyDescent="0.3">
      <c r="A598" s="2">
        <v>45682.833333333343</v>
      </c>
      <c r="B598">
        <f>4363.30587422829*(3/4)</f>
        <v>3272.4794056712208</v>
      </c>
    </row>
    <row r="599" spans="1:2" x14ac:dyDescent="0.3">
      <c r="A599" s="2">
        <v>45682.875</v>
      </c>
      <c r="B599">
        <f>4558.11203378863*(3/4)</f>
        <v>3418.584025341469</v>
      </c>
    </row>
    <row r="600" spans="1:2" x14ac:dyDescent="0.3">
      <c r="A600" s="2">
        <v>45682.916666666657</v>
      </c>
      <c r="B600">
        <f>4330.53292822649*(3/4)</f>
        <v>3247.8996961698676</v>
      </c>
    </row>
    <row r="601" spans="1:2" x14ac:dyDescent="0.3">
      <c r="A601" s="2">
        <v>45682.958333333343</v>
      </c>
      <c r="B601">
        <f>4422.46410645361*(3/4)</f>
        <v>3316.848079840207</v>
      </c>
    </row>
    <row r="602" spans="1:2" x14ac:dyDescent="0.3">
      <c r="A602" s="2">
        <v>45683</v>
      </c>
      <c r="B602">
        <f>4530.43320768012*(3/4)</f>
        <v>3397.8249057600924</v>
      </c>
    </row>
    <row r="603" spans="1:2" x14ac:dyDescent="0.3">
      <c r="A603" s="2">
        <v>45683.041666666657</v>
      </c>
      <c r="B603">
        <f>4523.8407001982*(3/4)</f>
        <v>3392.8805251486469</v>
      </c>
    </row>
    <row r="604" spans="1:2" x14ac:dyDescent="0.3">
      <c r="A604" s="2">
        <v>45683.083333333343</v>
      </c>
      <c r="B604">
        <f>4354.5629325624*(3/4)</f>
        <v>3265.9221994218037</v>
      </c>
    </row>
    <row r="605" spans="1:2" x14ac:dyDescent="0.3">
      <c r="A605" s="2">
        <v>45683.125</v>
      </c>
      <c r="B605">
        <f>4410.55001239571*(3/4)</f>
        <v>3307.9125092967788</v>
      </c>
    </row>
    <row r="606" spans="1:2" x14ac:dyDescent="0.3">
      <c r="A606" s="2">
        <v>45683.166666666657</v>
      </c>
      <c r="B606">
        <f>4490.05195022047*(3/4)</f>
        <v>3367.5389626653509</v>
      </c>
    </row>
    <row r="607" spans="1:2" x14ac:dyDescent="0.3">
      <c r="A607" s="2">
        <v>45683.208333333343</v>
      </c>
      <c r="B607">
        <f>4478.59823596593*(3/4)</f>
        <v>3358.9486769744476</v>
      </c>
    </row>
    <row r="608" spans="1:2" x14ac:dyDescent="0.3">
      <c r="A608" s="2">
        <v>45683.25</v>
      </c>
      <c r="B608">
        <f>4048.148167104*(3/4)</f>
        <v>3036.1111253279964</v>
      </c>
    </row>
    <row r="609" spans="1:2" x14ac:dyDescent="0.3">
      <c r="A609" s="2">
        <v>45683.291666666657</v>
      </c>
      <c r="B609">
        <f>4275.01772345814*(3/4)</f>
        <v>3206.2632925936055</v>
      </c>
    </row>
    <row r="610" spans="1:2" x14ac:dyDescent="0.3">
      <c r="A610" s="2">
        <v>45683.333333333343</v>
      </c>
      <c r="B610">
        <f>3570.3372008379*(3/4)</f>
        <v>2677.7529006284226</v>
      </c>
    </row>
    <row r="611" spans="1:2" x14ac:dyDescent="0.3">
      <c r="A611" s="2">
        <v>45683.375</v>
      </c>
      <c r="B611">
        <f>3666.95843540205*(3/4)</f>
        <v>2750.2188265515397</v>
      </c>
    </row>
    <row r="612" spans="1:2" x14ac:dyDescent="0.3">
      <c r="A612" s="2">
        <v>45683.416666666657</v>
      </c>
      <c r="B612">
        <f>3895.5183230178*(3/4)</f>
        <v>2921.6387422633525</v>
      </c>
    </row>
    <row r="613" spans="1:2" x14ac:dyDescent="0.3">
      <c r="A613" s="2">
        <v>45683.458333333343</v>
      </c>
      <c r="B613">
        <f>3475.27969297857*(3/4)</f>
        <v>2606.4597697339286</v>
      </c>
    </row>
    <row r="614" spans="1:2" x14ac:dyDescent="0.3">
      <c r="A614" s="2">
        <v>45683.5</v>
      </c>
      <c r="B614">
        <f>3341.13662462004*(3/4)</f>
        <v>2505.8524684650288</v>
      </c>
    </row>
    <row r="615" spans="1:2" x14ac:dyDescent="0.3">
      <c r="A615" s="2">
        <v>45683.541666666657</v>
      </c>
      <c r="B615">
        <f>3832.98802616225*(3/4)</f>
        <v>2874.7410196216906</v>
      </c>
    </row>
    <row r="616" spans="1:2" x14ac:dyDescent="0.3">
      <c r="A616" s="2">
        <v>45683.583333333343</v>
      </c>
      <c r="B616">
        <f>3299.68255441934*(3/4)</f>
        <v>2474.7619158145026</v>
      </c>
    </row>
    <row r="617" spans="1:2" x14ac:dyDescent="0.3">
      <c r="A617" s="2">
        <v>45683.625</v>
      </c>
      <c r="B617">
        <f>3481.3023237916*(3/4)</f>
        <v>2610.9767428436971</v>
      </c>
    </row>
    <row r="618" spans="1:2" x14ac:dyDescent="0.3">
      <c r="A618" s="2">
        <v>45683.666666666657</v>
      </c>
      <c r="B618">
        <f>3308.62855428628*(3/4)</f>
        <v>2481.4714157147114</v>
      </c>
    </row>
    <row r="619" spans="1:2" x14ac:dyDescent="0.3">
      <c r="A619" s="2">
        <v>45683.708333333343</v>
      </c>
      <c r="B619">
        <f>4432.92258951756*(3/4)</f>
        <v>3324.6919421381663</v>
      </c>
    </row>
    <row r="620" spans="1:2" x14ac:dyDescent="0.3">
      <c r="A620" s="2">
        <v>45683.75</v>
      </c>
      <c r="B620">
        <f>4540.13340837236*(3/4)</f>
        <v>3405.1000562792697</v>
      </c>
    </row>
    <row r="621" spans="1:2" x14ac:dyDescent="0.3">
      <c r="A621" s="2">
        <v>45683.791666666657</v>
      </c>
      <c r="B621">
        <f>4719.94748346303*(3/4)</f>
        <v>3539.9606125972723</v>
      </c>
    </row>
    <row r="622" spans="1:2" x14ac:dyDescent="0.3">
      <c r="A622" s="2">
        <v>45683.833333333343</v>
      </c>
      <c r="B622">
        <f>4167.6541383762*(3/4)</f>
        <v>3125.740603782147</v>
      </c>
    </row>
    <row r="623" spans="1:2" x14ac:dyDescent="0.3">
      <c r="A623" s="2">
        <v>45683.875</v>
      </c>
      <c r="B623">
        <f>4293.04401273408*(3/4)</f>
        <v>3219.7830095505565</v>
      </c>
    </row>
    <row r="624" spans="1:2" x14ac:dyDescent="0.3">
      <c r="A624" s="2">
        <v>45683.916666666657</v>
      </c>
      <c r="B624">
        <f>4446.20310111331*(3/4)</f>
        <v>3334.6523258349798</v>
      </c>
    </row>
    <row r="625" spans="1:2" x14ac:dyDescent="0.3">
      <c r="A625" s="2">
        <v>45683.958333333343</v>
      </c>
      <c r="B625">
        <f>4458.92316874714*(3/4)</f>
        <v>3344.1923765603565</v>
      </c>
    </row>
    <row r="626" spans="1:2" x14ac:dyDescent="0.3">
      <c r="A626" s="2">
        <v>45684</v>
      </c>
      <c r="B626">
        <f>4477.07549114004*(3/4)</f>
        <v>3357.8066183550272</v>
      </c>
    </row>
    <row r="627" spans="1:2" x14ac:dyDescent="0.3">
      <c r="A627" s="2">
        <v>45684.041666666657</v>
      </c>
      <c r="B627">
        <f>4503.60707556388*(3/4)</f>
        <v>3377.7053066729131</v>
      </c>
    </row>
    <row r="628" spans="1:2" x14ac:dyDescent="0.3">
      <c r="A628" s="2">
        <v>45684.083333333343</v>
      </c>
      <c r="B628">
        <f>4149.32619679928*(3/4)</f>
        <v>3111.9946475994566</v>
      </c>
    </row>
    <row r="629" spans="1:2" x14ac:dyDescent="0.3">
      <c r="A629" s="2">
        <v>45684.125</v>
      </c>
      <c r="B629">
        <f>4348.73921993327*(3/4)</f>
        <v>3261.5544149499547</v>
      </c>
    </row>
    <row r="630" spans="1:2" x14ac:dyDescent="0.3">
      <c r="A630" s="2">
        <v>45684.166666666657</v>
      </c>
      <c r="B630">
        <f>4225.43334177281*(3/4)</f>
        <v>3169.0750063296082</v>
      </c>
    </row>
    <row r="631" spans="1:2" x14ac:dyDescent="0.3">
      <c r="A631" s="2">
        <v>45684.208333333343</v>
      </c>
      <c r="B631">
        <f>4219.73985010891*(3/4)</f>
        <v>3164.8048875816812</v>
      </c>
    </row>
    <row r="632" spans="1:2" x14ac:dyDescent="0.3">
      <c r="A632" s="2">
        <v>45684.25</v>
      </c>
      <c r="B632">
        <f>4293.53264890831*(3/4)</f>
        <v>3220.1494866812327</v>
      </c>
    </row>
    <row r="633" spans="1:2" x14ac:dyDescent="0.3">
      <c r="A633" s="2">
        <v>45684.291666666657</v>
      </c>
      <c r="B633">
        <f>4327.63024905082*(3/4)</f>
        <v>3245.7226867881182</v>
      </c>
    </row>
    <row r="634" spans="1:2" x14ac:dyDescent="0.3">
      <c r="A634" s="2">
        <v>45684.333333333343</v>
      </c>
      <c r="B634">
        <f>4616.08796216878*(3/4)</f>
        <v>3462.0659716265823</v>
      </c>
    </row>
    <row r="635" spans="1:2" x14ac:dyDescent="0.3">
      <c r="A635" s="2">
        <v>45684.375</v>
      </c>
      <c r="B635">
        <f>4619.09647315742*(3/4)</f>
        <v>3464.322354868068</v>
      </c>
    </row>
    <row r="636" spans="1:2" x14ac:dyDescent="0.3">
      <c r="A636" s="2">
        <v>45684.416666666657</v>
      </c>
      <c r="B636">
        <f>4276.96745639835*(3/4)</f>
        <v>3207.7255922987588</v>
      </c>
    </row>
    <row r="637" spans="1:2" x14ac:dyDescent="0.3">
      <c r="A637" s="2">
        <v>45684.458333333343</v>
      </c>
      <c r="B637">
        <f>4533.3642071729*(3/4)</f>
        <v>3400.0231553796766</v>
      </c>
    </row>
    <row r="638" spans="1:2" x14ac:dyDescent="0.3">
      <c r="A638" s="2">
        <v>45684.5</v>
      </c>
      <c r="B638">
        <f>4236.17593250842*(3/4)</f>
        <v>3177.1319493813116</v>
      </c>
    </row>
    <row r="639" spans="1:2" x14ac:dyDescent="0.3">
      <c r="A639" s="2">
        <v>45684.541666666657</v>
      </c>
      <c r="B639">
        <f>4562.79486647903*(3/4)</f>
        <v>3422.0961498592751</v>
      </c>
    </row>
    <row r="640" spans="1:2" x14ac:dyDescent="0.3">
      <c r="A640" s="2">
        <v>45684.583333333343</v>
      </c>
      <c r="B640">
        <f>4216.36830167753*(3/4)</f>
        <v>3162.276226258145</v>
      </c>
    </row>
    <row r="641" spans="1:2" x14ac:dyDescent="0.3">
      <c r="A641" s="2">
        <v>45684.625</v>
      </c>
      <c r="B641">
        <f>4446.71404514775*(3/4)</f>
        <v>3335.0355338608138</v>
      </c>
    </row>
    <row r="642" spans="1:2" x14ac:dyDescent="0.3">
      <c r="A642" s="2">
        <v>45684.666666666657</v>
      </c>
      <c r="B642">
        <f>4800*(3/4)</f>
        <v>3600</v>
      </c>
    </row>
    <row r="643" spans="1:2" x14ac:dyDescent="0.3">
      <c r="A643" s="2">
        <v>45684.708333333343</v>
      </c>
      <c r="B643">
        <f>4323.18179749008*(3/4)</f>
        <v>3242.3863481175595</v>
      </c>
    </row>
    <row r="644" spans="1:2" x14ac:dyDescent="0.3">
      <c r="A644" s="2">
        <v>45684.75</v>
      </c>
      <c r="B644">
        <f>4341.42452060028*(3/4)</f>
        <v>3256.0683904502084</v>
      </c>
    </row>
    <row r="645" spans="1:2" x14ac:dyDescent="0.3">
      <c r="A645" s="2">
        <v>45684.791666666657</v>
      </c>
      <c r="B645">
        <f>4479.75626242523*(3/4)</f>
        <v>3359.8171968189249</v>
      </c>
    </row>
    <row r="646" spans="1:2" x14ac:dyDescent="0.3">
      <c r="A646" s="2">
        <v>45684.833333333343</v>
      </c>
      <c r="B646">
        <f>4594.744235972*(3/4)</f>
        <v>3446.0581769790006</v>
      </c>
    </row>
    <row r="647" spans="1:2" x14ac:dyDescent="0.3">
      <c r="A647" s="2">
        <v>45684.875</v>
      </c>
      <c r="B647">
        <f>4357.90586261767*(3/4)</f>
        <v>3268.4293969632499</v>
      </c>
    </row>
    <row r="648" spans="1:2" x14ac:dyDescent="0.3">
      <c r="A648" s="2">
        <v>45684.916666666657</v>
      </c>
      <c r="B648">
        <f>4074.4574216276*(3/4)</f>
        <v>3055.8430662206993</v>
      </c>
    </row>
    <row r="649" spans="1:2" x14ac:dyDescent="0.3">
      <c r="A649" s="2">
        <v>45684.958333333343</v>
      </c>
      <c r="B649">
        <f>4246.3978608009*(3/4)</f>
        <v>3184.7983956006778</v>
      </c>
    </row>
    <row r="650" spans="1:2" x14ac:dyDescent="0.3">
      <c r="A650" s="2">
        <v>45685</v>
      </c>
      <c r="B650">
        <f>4620.61127741395*(3/4)</f>
        <v>3465.4584580604646</v>
      </c>
    </row>
    <row r="651" spans="1:2" x14ac:dyDescent="0.3">
      <c r="A651" s="2">
        <v>45685.041666666657</v>
      </c>
      <c r="B651">
        <f>4136.11797134746*(3/4)</f>
        <v>3102.0884785105932</v>
      </c>
    </row>
    <row r="652" spans="1:2" x14ac:dyDescent="0.3">
      <c r="A652" s="2">
        <v>45685.083333333343</v>
      </c>
      <c r="B652">
        <f>4319.2172561363*(3/4)</f>
        <v>3239.412942102229</v>
      </c>
    </row>
    <row r="653" spans="1:2" x14ac:dyDescent="0.3">
      <c r="A653" s="2">
        <v>45685.125</v>
      </c>
      <c r="B653">
        <f>4216.51936740313*(3/4)</f>
        <v>3162.3895255523453</v>
      </c>
    </row>
    <row r="654" spans="1:2" x14ac:dyDescent="0.3">
      <c r="A654" s="2">
        <v>45685.166666666657</v>
      </c>
      <c r="B654">
        <f>4277.44912898211*(3/4)</f>
        <v>3208.0868467365844</v>
      </c>
    </row>
    <row r="655" spans="1:2" x14ac:dyDescent="0.3">
      <c r="A655" s="2">
        <v>45685.208333333343</v>
      </c>
      <c r="B655">
        <f>4029.23300952659*(3/4)</f>
        <v>3021.9247571449409</v>
      </c>
    </row>
    <row r="656" spans="1:2" x14ac:dyDescent="0.3">
      <c r="A656" s="2">
        <v>45685.25</v>
      </c>
      <c r="B656">
        <f>4038.11210898988*(3/4)</f>
        <v>3028.5840817424114</v>
      </c>
    </row>
    <row r="657" spans="1:2" x14ac:dyDescent="0.3">
      <c r="A657" s="2">
        <v>45685.291666666657</v>
      </c>
      <c r="B657">
        <f>4770.75399914522*(3/4)</f>
        <v>3578.0654993589178</v>
      </c>
    </row>
    <row r="658" spans="1:2" x14ac:dyDescent="0.3">
      <c r="A658" s="2">
        <v>45685.333333333343</v>
      </c>
      <c r="B658">
        <f>4721.63539115406*(3/4)</f>
        <v>3541.2265433655484</v>
      </c>
    </row>
    <row r="659" spans="1:2" x14ac:dyDescent="0.3">
      <c r="A659" s="2">
        <v>45685.375</v>
      </c>
      <c r="B659">
        <f>4318.07184590108*(3/4)</f>
        <v>3238.5538844258117</v>
      </c>
    </row>
    <row r="660" spans="1:2" x14ac:dyDescent="0.3">
      <c r="A660" s="2">
        <v>45685.416666666657</v>
      </c>
      <c r="B660">
        <f>4570.86812975908*(3/4)</f>
        <v>3428.1510973193067</v>
      </c>
    </row>
    <row r="661" spans="1:2" x14ac:dyDescent="0.3">
      <c r="A661" s="2">
        <v>45685.458333333343</v>
      </c>
      <c r="B661">
        <f>4407.87783117085*(3/4)</f>
        <v>3305.9083733781404</v>
      </c>
    </row>
    <row r="662" spans="1:2" x14ac:dyDescent="0.3">
      <c r="A662" s="2">
        <v>45685.5</v>
      </c>
      <c r="B662">
        <f>4655.36097592527*(3/4)</f>
        <v>3491.5207319439505</v>
      </c>
    </row>
    <row r="663" spans="1:2" x14ac:dyDescent="0.3">
      <c r="A663" s="2">
        <v>45685.541666666657</v>
      </c>
      <c r="B663">
        <f>4645.60680987344*(3/4)</f>
        <v>3484.2051074050805</v>
      </c>
    </row>
    <row r="664" spans="1:2" x14ac:dyDescent="0.3">
      <c r="A664" s="2">
        <v>45685.583333333343</v>
      </c>
      <c r="B664">
        <f>4011.70013858109*(3/4)</f>
        <v>3008.7751039358172</v>
      </c>
    </row>
    <row r="665" spans="1:2" x14ac:dyDescent="0.3">
      <c r="A665" s="2">
        <v>45685.625</v>
      </c>
      <c r="B665">
        <f>4740.14849953381*(3/4)</f>
        <v>3555.1113746503538</v>
      </c>
    </row>
    <row r="666" spans="1:2" x14ac:dyDescent="0.3">
      <c r="A666" s="2">
        <v>45685.666666666657</v>
      </c>
      <c r="B666">
        <f>4800*(3/4)</f>
        <v>3600</v>
      </c>
    </row>
    <row r="667" spans="1:2" x14ac:dyDescent="0.3">
      <c r="A667" s="2">
        <v>45685.708333333343</v>
      </c>
      <c r="B667">
        <f>4296.95294015306*(3/4)</f>
        <v>3222.7147051147922</v>
      </c>
    </row>
    <row r="668" spans="1:2" x14ac:dyDescent="0.3">
      <c r="A668" s="2">
        <v>45685.75</v>
      </c>
      <c r="B668">
        <f>4390.41908905356*(3/4)</f>
        <v>3292.8143167901667</v>
      </c>
    </row>
    <row r="669" spans="1:2" x14ac:dyDescent="0.3">
      <c r="A669" s="2">
        <v>45685.791666666657</v>
      </c>
      <c r="B669">
        <f>4325.62432471085*(3/4)</f>
        <v>3244.2182435331338</v>
      </c>
    </row>
    <row r="670" spans="1:2" x14ac:dyDescent="0.3">
      <c r="A670" s="2">
        <v>45685.833333333343</v>
      </c>
      <c r="B670">
        <f>4467.52845973134*(3/4)</f>
        <v>3350.6463447985061</v>
      </c>
    </row>
    <row r="671" spans="1:2" x14ac:dyDescent="0.3">
      <c r="A671" s="2">
        <v>45685.875</v>
      </c>
      <c r="B671">
        <f>4586.22264107497*(3/4)</f>
        <v>3439.6669808062275</v>
      </c>
    </row>
    <row r="672" spans="1:2" x14ac:dyDescent="0.3">
      <c r="A672" s="2">
        <v>45685.916666666657</v>
      </c>
      <c r="B672">
        <f>4332.92375328946*(3/4)</f>
        <v>3249.6928149670957</v>
      </c>
    </row>
    <row r="673" spans="1:2" x14ac:dyDescent="0.3">
      <c r="A673" s="2">
        <v>45685.958333333343</v>
      </c>
      <c r="B673">
        <f>4187.94459249613*(3/4)</f>
        <v>3140.9584443720942</v>
      </c>
    </row>
    <row r="674" spans="1:2" x14ac:dyDescent="0.3">
      <c r="A674" s="2">
        <v>45686</v>
      </c>
      <c r="B674">
        <f>4558.90753187058*(3/4)</f>
        <v>3419.1806489029377</v>
      </c>
    </row>
    <row r="675" spans="1:2" x14ac:dyDescent="0.3">
      <c r="A675" s="2">
        <v>45686.041666666657</v>
      </c>
      <c r="B675">
        <f>4446.47335856695*(3/4)</f>
        <v>3334.8550189252132</v>
      </c>
    </row>
    <row r="676" spans="1:2" x14ac:dyDescent="0.3">
      <c r="A676" s="2">
        <v>45686.083333333343</v>
      </c>
      <c r="B676">
        <f>4229.3384166575*(3/4)</f>
        <v>3172.0038124931275</v>
      </c>
    </row>
    <row r="677" spans="1:2" x14ac:dyDescent="0.3">
      <c r="A677" s="2">
        <v>45686.125</v>
      </c>
      <c r="B677">
        <f>4467.38344941585*(3/4)</f>
        <v>3350.5375870618909</v>
      </c>
    </row>
    <row r="678" spans="1:2" x14ac:dyDescent="0.3">
      <c r="A678" s="2">
        <v>45686.166666666657</v>
      </c>
      <c r="B678">
        <f>4448.71772872204*(3/4)</f>
        <v>3336.5382965415329</v>
      </c>
    </row>
    <row r="679" spans="1:2" x14ac:dyDescent="0.3">
      <c r="A679" s="2">
        <v>45686.208333333343</v>
      </c>
      <c r="B679">
        <f>4213.4460806361*(3/4)</f>
        <v>3160.0845604770766</v>
      </c>
    </row>
    <row r="680" spans="1:2" x14ac:dyDescent="0.3">
      <c r="A680" s="2">
        <v>45686.25</v>
      </c>
      <c r="B680">
        <f>4168.15158320098*(3/4)</f>
        <v>3126.1136874007357</v>
      </c>
    </row>
    <row r="681" spans="1:2" x14ac:dyDescent="0.3">
      <c r="A681" s="2">
        <v>45686.291666666657</v>
      </c>
      <c r="B681">
        <f>4454.57501577261*(3/4)</f>
        <v>3340.9312618294589</v>
      </c>
    </row>
    <row r="682" spans="1:2" x14ac:dyDescent="0.3">
      <c r="A682" s="2">
        <v>45686.333333333343</v>
      </c>
      <c r="B682">
        <f>4248.62432562093*(3/4)</f>
        <v>3186.4682442156964</v>
      </c>
    </row>
    <row r="683" spans="1:2" x14ac:dyDescent="0.3">
      <c r="A683" s="2">
        <v>45686.375</v>
      </c>
      <c r="B683">
        <f>4522.8099583784*(3/4)</f>
        <v>3392.1074687837981</v>
      </c>
    </row>
    <row r="684" spans="1:2" x14ac:dyDescent="0.3">
      <c r="A684" s="2">
        <v>45686.416666666657</v>
      </c>
      <c r="B684">
        <f>4570.78791797126*(3/4)</f>
        <v>3428.0909384784463</v>
      </c>
    </row>
    <row r="685" spans="1:2" x14ac:dyDescent="0.3">
      <c r="A685" s="2">
        <v>45686.458333333343</v>
      </c>
      <c r="B685">
        <f>4649.87018735507*(3/4)</f>
        <v>3487.4026405163058</v>
      </c>
    </row>
    <row r="686" spans="1:2" x14ac:dyDescent="0.3">
      <c r="A686" s="2">
        <v>45686.5</v>
      </c>
      <c r="B686">
        <f>4800*(3/4)</f>
        <v>3600</v>
      </c>
    </row>
    <row r="687" spans="1:2" x14ac:dyDescent="0.3">
      <c r="A687" s="2">
        <v>45686.541666666657</v>
      </c>
      <c r="B687">
        <f>4445.57378265676*(3/4)</f>
        <v>3334.1803369925683</v>
      </c>
    </row>
    <row r="688" spans="1:2" x14ac:dyDescent="0.3">
      <c r="A688" s="2">
        <v>45686.583333333343</v>
      </c>
      <c r="B688">
        <f>4084.7277049777*(3/4)</f>
        <v>3063.5457787332766</v>
      </c>
    </row>
    <row r="689" spans="1:2" x14ac:dyDescent="0.3">
      <c r="A689" s="2">
        <v>45686.625</v>
      </c>
      <c r="B689">
        <f>4356.94503494293*(3/4)</f>
        <v>3267.7087762071969</v>
      </c>
    </row>
    <row r="690" spans="1:2" x14ac:dyDescent="0.3">
      <c r="A690" s="2">
        <v>45686.666666666657</v>
      </c>
      <c r="B690">
        <f>4240.99539176445*(3/4)</f>
        <v>3180.7465438233353</v>
      </c>
    </row>
    <row r="691" spans="1:2" x14ac:dyDescent="0.3">
      <c r="A691" s="2">
        <v>45686.708333333343</v>
      </c>
      <c r="B691">
        <f>4477.1884768883*(3/4)</f>
        <v>3357.8913576662258</v>
      </c>
    </row>
    <row r="692" spans="1:2" x14ac:dyDescent="0.3">
      <c r="A692" s="2">
        <v>45686.75</v>
      </c>
      <c r="B692">
        <f>4405.39233756063*(3/4)</f>
        <v>3304.0442531704739</v>
      </c>
    </row>
    <row r="693" spans="1:2" x14ac:dyDescent="0.3">
      <c r="A693" s="2">
        <v>45686.791666666657</v>
      </c>
      <c r="B693">
        <f>4559.21659376111*(3/4)</f>
        <v>3419.412445320836</v>
      </c>
    </row>
    <row r="694" spans="1:2" x14ac:dyDescent="0.3">
      <c r="A694" s="2">
        <v>45686.833333333343</v>
      </c>
      <c r="B694">
        <f>4519.75376170789*(3/4)</f>
        <v>3389.8153212809202</v>
      </c>
    </row>
    <row r="695" spans="1:2" x14ac:dyDescent="0.3">
      <c r="A695" s="2">
        <v>45686.875</v>
      </c>
      <c r="B695">
        <f>4517.37519776855*(3/4)</f>
        <v>3388.0313983264114</v>
      </c>
    </row>
    <row r="696" spans="1:2" x14ac:dyDescent="0.3">
      <c r="A696" s="2">
        <v>45686.916666666657</v>
      </c>
      <c r="B696">
        <f>4212.05963048008*(3/4)</f>
        <v>3159.0447228600588</v>
      </c>
    </row>
    <row r="697" spans="1:2" x14ac:dyDescent="0.3">
      <c r="A697" s="2">
        <v>45686.958333333343</v>
      </c>
      <c r="B697">
        <f>4212.10878146562*(3/4)</f>
        <v>3159.0815860992179</v>
      </c>
    </row>
    <row r="698" spans="1:2" x14ac:dyDescent="0.3">
      <c r="A698" s="2">
        <v>45687</v>
      </c>
      <c r="B698">
        <f>4800*(3/4)</f>
        <v>3600</v>
      </c>
    </row>
    <row r="699" spans="1:2" x14ac:dyDescent="0.3">
      <c r="A699" s="2">
        <v>45687.041666666657</v>
      </c>
      <c r="B699">
        <f>4556.44867430866*(3/4)</f>
        <v>3417.336505731495</v>
      </c>
    </row>
    <row r="700" spans="1:2" x14ac:dyDescent="0.3">
      <c r="A700" s="2">
        <v>45687.083333333343</v>
      </c>
      <c r="B700">
        <f>4505.48245795671*(3/4)</f>
        <v>3379.1118434675354</v>
      </c>
    </row>
    <row r="701" spans="1:2" x14ac:dyDescent="0.3">
      <c r="A701" s="2">
        <v>45687.125</v>
      </c>
      <c r="B701">
        <f>4418.95264902836*(3/4)</f>
        <v>3314.2144867712705</v>
      </c>
    </row>
    <row r="702" spans="1:2" x14ac:dyDescent="0.3">
      <c r="A702" s="2">
        <v>45687.166666666657</v>
      </c>
      <c r="B702">
        <f>4503.48105579333*(3/4)</f>
        <v>3377.6107918449939</v>
      </c>
    </row>
    <row r="703" spans="1:2" x14ac:dyDescent="0.3">
      <c r="A703" s="2">
        <v>45687.208333333343</v>
      </c>
      <c r="B703">
        <f>4021.93718024845*(3/4)</f>
        <v>3016.4528851863352</v>
      </c>
    </row>
    <row r="704" spans="1:2" x14ac:dyDescent="0.3">
      <c r="A704" s="2">
        <v>45687.25</v>
      </c>
      <c r="B704">
        <f>4276.71741308191*(3/4)</f>
        <v>3207.538059811432</v>
      </c>
    </row>
    <row r="705" spans="1:2" x14ac:dyDescent="0.3">
      <c r="A705" s="2">
        <v>45687.291666666657</v>
      </c>
      <c r="B705">
        <f>4635.4757109172*(3/4)</f>
        <v>3476.6067831879004</v>
      </c>
    </row>
    <row r="706" spans="1:2" x14ac:dyDescent="0.3">
      <c r="A706" s="2">
        <v>45687.333333333343</v>
      </c>
      <c r="B706">
        <f>4486.7592302781*(3/4)</f>
        <v>3365.0694227085719</v>
      </c>
    </row>
    <row r="707" spans="1:2" x14ac:dyDescent="0.3">
      <c r="A707" s="2">
        <v>45687.375</v>
      </c>
      <c r="B707">
        <f>4562.57565077033*(3/4)</f>
        <v>3421.9317380777438</v>
      </c>
    </row>
    <row r="708" spans="1:2" x14ac:dyDescent="0.3">
      <c r="A708" s="2">
        <v>45687.416666666657</v>
      </c>
      <c r="B708">
        <f>4607.99414279912*(3/4)</f>
        <v>3455.9956070993426</v>
      </c>
    </row>
    <row r="709" spans="1:2" x14ac:dyDescent="0.3">
      <c r="A709" s="2">
        <v>45687.458333333343</v>
      </c>
      <c r="B709">
        <f>4357.05792652494*(3/4)</f>
        <v>3267.7934448937085</v>
      </c>
    </row>
    <row r="710" spans="1:2" x14ac:dyDescent="0.3">
      <c r="A710" s="2">
        <v>45687.5</v>
      </c>
      <c r="B710">
        <f>4366.24302289563*(3/4)</f>
        <v>3274.6822671717218</v>
      </c>
    </row>
    <row r="711" spans="1:2" x14ac:dyDescent="0.3">
      <c r="A711" s="2">
        <v>45687.541666666657</v>
      </c>
      <c r="B711">
        <f>4436.59937338607*(3/4)</f>
        <v>3327.4495300395538</v>
      </c>
    </row>
    <row r="712" spans="1:2" x14ac:dyDescent="0.3">
      <c r="A712" s="2">
        <v>45687.583333333343</v>
      </c>
      <c r="B712">
        <f>4019.90627021085*(3/4)</f>
        <v>3014.9297026581366</v>
      </c>
    </row>
    <row r="713" spans="1:2" x14ac:dyDescent="0.3">
      <c r="A713" s="2">
        <v>45687.625</v>
      </c>
      <c r="B713">
        <f>4204.63149793322*(3/4)</f>
        <v>3153.4736234499151</v>
      </c>
    </row>
    <row r="714" spans="1:2" x14ac:dyDescent="0.3">
      <c r="A714" s="2">
        <v>45687.666666666657</v>
      </c>
      <c r="B714">
        <f>4521.01894888788*(3/4)</f>
        <v>3390.7642116659099</v>
      </c>
    </row>
    <row r="715" spans="1:2" x14ac:dyDescent="0.3">
      <c r="A715" s="2">
        <v>45687.708333333343</v>
      </c>
      <c r="B715">
        <f>4218.54447363619*(3/4)</f>
        <v>3163.9083552271441</v>
      </c>
    </row>
    <row r="716" spans="1:2" x14ac:dyDescent="0.3">
      <c r="A716" s="2">
        <v>45687.75</v>
      </c>
      <c r="B716">
        <f>4607.69560729039*(3/4)</f>
        <v>3455.7717054677901</v>
      </c>
    </row>
    <row r="717" spans="1:2" x14ac:dyDescent="0.3">
      <c r="A717" s="2">
        <v>45687.791666666657</v>
      </c>
      <c r="B717">
        <f>4665.10169816197*(3/4)</f>
        <v>3498.8262736214756</v>
      </c>
    </row>
    <row r="718" spans="1:2" x14ac:dyDescent="0.3">
      <c r="A718" s="2">
        <v>45687.833333333343</v>
      </c>
      <c r="B718">
        <f>4667.44959368195*(3/4)</f>
        <v>3500.5871952614593</v>
      </c>
    </row>
    <row r="719" spans="1:2" x14ac:dyDescent="0.3">
      <c r="A719" s="2">
        <v>45687.875</v>
      </c>
      <c r="B719">
        <f>4339.9034846238*(3/4)</f>
        <v>3254.927613467853</v>
      </c>
    </row>
    <row r="720" spans="1:2" x14ac:dyDescent="0.3">
      <c r="A720" s="2">
        <v>45687.916666666657</v>
      </c>
      <c r="B720">
        <f>4346.6630612119*(3/4)</f>
        <v>3259.9972959089255</v>
      </c>
    </row>
    <row r="721" spans="1:2" x14ac:dyDescent="0.3">
      <c r="A721" s="2">
        <v>45687.958333333343</v>
      </c>
      <c r="B721">
        <f>4293.33292996622*(3/4)</f>
        <v>3219.9996974746646</v>
      </c>
    </row>
    <row r="722" spans="1:2" x14ac:dyDescent="0.3">
      <c r="A722" s="2">
        <v>45688</v>
      </c>
      <c r="B722">
        <f>4417.82217146078*(3/4)</f>
        <v>3313.3666285955883</v>
      </c>
    </row>
    <row r="723" spans="1:2" x14ac:dyDescent="0.3">
      <c r="A723" s="2">
        <v>45688.041666666657</v>
      </c>
      <c r="B723">
        <f>4176.38384806102*(3/4)</f>
        <v>3132.287886045764</v>
      </c>
    </row>
    <row r="724" spans="1:2" x14ac:dyDescent="0.3">
      <c r="A724" s="2">
        <v>45688.083333333343</v>
      </c>
      <c r="B724">
        <f>4098.85128691116*(3/4)</f>
        <v>3074.1384651833673</v>
      </c>
    </row>
    <row r="725" spans="1:2" x14ac:dyDescent="0.3">
      <c r="A725" s="2">
        <v>45688.125</v>
      </c>
      <c r="B725">
        <f>4206.4301990493*(3/4)</f>
        <v>3154.822649286979</v>
      </c>
    </row>
    <row r="726" spans="1:2" x14ac:dyDescent="0.3">
      <c r="A726" s="2">
        <v>45688.166666666657</v>
      </c>
      <c r="B726">
        <f>4290.78835460853*(3/4)</f>
        <v>3218.0912659563951</v>
      </c>
    </row>
    <row r="727" spans="1:2" x14ac:dyDescent="0.3">
      <c r="A727" s="2">
        <v>45688.208333333343</v>
      </c>
      <c r="B727">
        <f>4175.44479799149*(3/4)</f>
        <v>3131.5835984936175</v>
      </c>
    </row>
    <row r="728" spans="1:2" x14ac:dyDescent="0.3">
      <c r="A728" s="2">
        <v>45688.25</v>
      </c>
      <c r="B728">
        <f>4015.38093929517*(3/4)</f>
        <v>3011.5357044713792</v>
      </c>
    </row>
    <row r="729" spans="1:2" x14ac:dyDescent="0.3">
      <c r="A729" s="2">
        <v>45688.291666666657</v>
      </c>
      <c r="B729">
        <f>4433.94824359942*(3/4)</f>
        <v>3325.4611826995647</v>
      </c>
    </row>
    <row r="730" spans="1:2" x14ac:dyDescent="0.3">
      <c r="A730" s="2">
        <v>45688.333333333343</v>
      </c>
      <c r="B730">
        <f>4800*(3/4)</f>
        <v>3600</v>
      </c>
    </row>
    <row r="731" spans="1:2" x14ac:dyDescent="0.3">
      <c r="A731" s="2">
        <v>45688.375</v>
      </c>
      <c r="B731">
        <f>4419.14678789661*(3/4)</f>
        <v>3314.360090922456</v>
      </c>
    </row>
    <row r="732" spans="1:2" x14ac:dyDescent="0.3">
      <c r="A732" s="2">
        <v>45688.416666666657</v>
      </c>
      <c r="B732">
        <f>4481.6479096133*(3/4)</f>
        <v>3361.2359322099774</v>
      </c>
    </row>
    <row r="733" spans="1:2" x14ac:dyDescent="0.3">
      <c r="A733" s="2">
        <v>45688.458333333343</v>
      </c>
      <c r="B733">
        <f>4476.54134841793*(3/4)</f>
        <v>3357.4060113134437</v>
      </c>
    </row>
    <row r="734" spans="1:2" x14ac:dyDescent="0.3">
      <c r="A734" s="2">
        <v>45688.5</v>
      </c>
      <c r="B734">
        <f>4411.03616148093*(3/4)</f>
        <v>3308.2771211106988</v>
      </c>
    </row>
    <row r="735" spans="1:2" x14ac:dyDescent="0.3">
      <c r="A735" s="2">
        <v>45688.541666666657</v>
      </c>
      <c r="B735">
        <f>4573.26669310528*(3/4)</f>
        <v>3429.9500198289566</v>
      </c>
    </row>
    <row r="736" spans="1:2" x14ac:dyDescent="0.3">
      <c r="A736" s="2">
        <v>45688.583333333343</v>
      </c>
      <c r="B736">
        <f>3945.70323880371*(3/4)</f>
        <v>2959.2774291027827</v>
      </c>
    </row>
    <row r="737" spans="1:2" x14ac:dyDescent="0.3">
      <c r="A737" s="2">
        <v>45688.625</v>
      </c>
      <c r="B737">
        <f>4212.38154726522*(3/4)</f>
        <v>3159.2861604489181</v>
      </c>
    </row>
    <row r="738" spans="1:2" x14ac:dyDescent="0.3">
      <c r="A738" s="2">
        <v>45688.666666666657</v>
      </c>
      <c r="B738">
        <f>3887.13622698047*(3/4)</f>
        <v>2915.3521702353564</v>
      </c>
    </row>
    <row r="739" spans="1:2" x14ac:dyDescent="0.3">
      <c r="A739" s="2">
        <v>45688.708333333343</v>
      </c>
      <c r="B739">
        <f>4379.7998784616*(3/4)</f>
        <v>3284.8499088462031</v>
      </c>
    </row>
    <row r="740" spans="1:2" x14ac:dyDescent="0.3">
      <c r="A740" s="2">
        <v>45688.75</v>
      </c>
      <c r="B740">
        <f>4416.40540316172*(3/4)</f>
        <v>3312.3040523712925</v>
      </c>
    </row>
    <row r="741" spans="1:2" x14ac:dyDescent="0.3">
      <c r="A741" s="2">
        <v>45688.791666666657</v>
      </c>
      <c r="B741">
        <f>4507.68828488527*(3/4)</f>
        <v>3380.766213663956</v>
      </c>
    </row>
    <row r="742" spans="1:2" x14ac:dyDescent="0.3">
      <c r="A742" s="2">
        <v>45688.833333333343</v>
      </c>
      <c r="B742">
        <f>4252.7722332763*(3/4)</f>
        <v>3189.5791749572263</v>
      </c>
    </row>
    <row r="743" spans="1:2" x14ac:dyDescent="0.3">
      <c r="A743" s="2">
        <v>45688.875</v>
      </c>
      <c r="B743">
        <f>4487.92564829722*(3/4)</f>
        <v>3365.9442362229147</v>
      </c>
    </row>
    <row r="744" spans="1:2" x14ac:dyDescent="0.3">
      <c r="A744" s="2">
        <v>45688.916666666657</v>
      </c>
      <c r="B744">
        <f>3974.09037076433*(3/4)</f>
        <v>2980.567778073249</v>
      </c>
    </row>
    <row r="745" spans="1:2" x14ac:dyDescent="0.3">
      <c r="A745" s="2">
        <v>45688.958333333343</v>
      </c>
      <c r="B745">
        <f>4002.41923807526*(3/4)</f>
        <v>3001.8144285564467</v>
      </c>
    </row>
    <row r="746" spans="1:2" x14ac:dyDescent="0.3">
      <c r="A746" s="2">
        <v>45689</v>
      </c>
      <c r="B746">
        <f>4584.23425609787*(3/4)</f>
        <v>3438.1756920734056</v>
      </c>
    </row>
    <row r="747" spans="1:2" x14ac:dyDescent="0.3">
      <c r="A747" s="2">
        <v>45689.041666666657</v>
      </c>
      <c r="B747">
        <f>4279.69388031719*(3/4)</f>
        <v>3209.7704102378889</v>
      </c>
    </row>
    <row r="748" spans="1:2" x14ac:dyDescent="0.3">
      <c r="A748" s="2">
        <v>45689.083333333343</v>
      </c>
      <c r="B748">
        <f>4526.47408127032*(3/4)</f>
        <v>3394.8555609527411</v>
      </c>
    </row>
    <row r="749" spans="1:2" x14ac:dyDescent="0.3">
      <c r="A749" s="2">
        <v>45689.125</v>
      </c>
      <c r="B749">
        <f>4081.11319267373*(3/4)</f>
        <v>3060.8348945052985</v>
      </c>
    </row>
    <row r="750" spans="1:2" x14ac:dyDescent="0.3">
      <c r="A750" s="2">
        <v>45689.166666666657</v>
      </c>
      <c r="B750">
        <f>4254.06433494303*(3/4)</f>
        <v>3190.548251207274</v>
      </c>
    </row>
    <row r="751" spans="1:2" x14ac:dyDescent="0.3">
      <c r="A751" s="2">
        <v>45689.208333333343</v>
      </c>
      <c r="B751">
        <f>4192.89759127661*(3/4)</f>
        <v>3144.6731934574582</v>
      </c>
    </row>
    <row r="752" spans="1:2" x14ac:dyDescent="0.3">
      <c r="A752" s="2">
        <v>45689.25</v>
      </c>
      <c r="B752">
        <f>4008.6126995261*(3/4)</f>
        <v>3006.4595246445742</v>
      </c>
    </row>
    <row r="753" spans="1:2" x14ac:dyDescent="0.3">
      <c r="A753" s="2">
        <v>45689.291666666657</v>
      </c>
      <c r="B753">
        <f>4282.2888012551*(3/4)</f>
        <v>3211.7166009413272</v>
      </c>
    </row>
    <row r="754" spans="1:2" x14ac:dyDescent="0.3">
      <c r="A754" s="2">
        <v>45689.333333333343</v>
      </c>
      <c r="B754">
        <f>4546.25418908716*(3/4)</f>
        <v>3409.6906418153712</v>
      </c>
    </row>
    <row r="755" spans="1:2" x14ac:dyDescent="0.3">
      <c r="A755" s="2">
        <v>45689.375</v>
      </c>
      <c r="B755">
        <f>4441.7007099573*(3/4)</f>
        <v>3331.2755324679724</v>
      </c>
    </row>
    <row r="756" spans="1:2" x14ac:dyDescent="0.3">
      <c r="A756" s="2">
        <v>45689.416666666657</v>
      </c>
      <c r="B756">
        <f>4297.2033422856*(3/4)</f>
        <v>3222.9025067142011</v>
      </c>
    </row>
    <row r="757" spans="1:2" x14ac:dyDescent="0.3">
      <c r="A757" s="2">
        <v>45689.458333333343</v>
      </c>
      <c r="B757">
        <f>4488.26882155676*(3/4)</f>
        <v>3366.2016161675697</v>
      </c>
    </row>
    <row r="758" spans="1:2" x14ac:dyDescent="0.3">
      <c r="A758" s="2">
        <v>45689.5</v>
      </c>
      <c r="B758">
        <f>4526.59044361216*(3/4)</f>
        <v>3394.9428327091214</v>
      </c>
    </row>
    <row r="759" spans="1:2" x14ac:dyDescent="0.3">
      <c r="A759" s="2">
        <v>45689.541666666657</v>
      </c>
      <c r="B759">
        <f>4405.70102413505*(3/4)</f>
        <v>3304.275768101284</v>
      </c>
    </row>
    <row r="760" spans="1:2" x14ac:dyDescent="0.3">
      <c r="A760" s="2">
        <v>45689.583333333343</v>
      </c>
      <c r="B760">
        <f>4063.28507827696*(3/4)</f>
        <v>3047.4638087077192</v>
      </c>
    </row>
    <row r="761" spans="1:2" x14ac:dyDescent="0.3">
      <c r="A761" s="2">
        <v>45689.625</v>
      </c>
      <c r="B761">
        <f>4360.37715031646*(3/4)</f>
        <v>3270.2828627373469</v>
      </c>
    </row>
    <row r="762" spans="1:2" x14ac:dyDescent="0.3">
      <c r="A762" s="2">
        <v>45689.666666666657</v>
      </c>
      <c r="B762">
        <f>4391.62840168397*(3/4)</f>
        <v>3293.7213012629741</v>
      </c>
    </row>
    <row r="763" spans="1:2" x14ac:dyDescent="0.3">
      <c r="A763" s="2">
        <v>45689.708333333343</v>
      </c>
      <c r="B763">
        <f>4597.93506722561*(3/4)</f>
        <v>3448.4513004192086</v>
      </c>
    </row>
    <row r="764" spans="1:2" x14ac:dyDescent="0.3">
      <c r="A764" s="2">
        <v>45689.75</v>
      </c>
      <c r="B764">
        <f>4415.22070655359*(3/4)</f>
        <v>3311.4155299151917</v>
      </c>
    </row>
    <row r="765" spans="1:2" x14ac:dyDescent="0.3">
      <c r="A765" s="2">
        <v>45689.791666666657</v>
      </c>
      <c r="B765">
        <f>3547.12480254359*(3/4)</f>
        <v>2660.3436019076926</v>
      </c>
    </row>
    <row r="766" spans="1:2" x14ac:dyDescent="0.3">
      <c r="A766" s="2">
        <v>45689.833333333343</v>
      </c>
      <c r="B766">
        <f>4325.17242268116*(3/4)</f>
        <v>3243.8793170108711</v>
      </c>
    </row>
    <row r="767" spans="1:2" x14ac:dyDescent="0.3">
      <c r="A767" s="2">
        <v>45689.875</v>
      </c>
      <c r="B767">
        <f>4253.3591856441*(3/4)</f>
        <v>3190.0193892330772</v>
      </c>
    </row>
    <row r="768" spans="1:2" x14ac:dyDescent="0.3">
      <c r="A768" s="2">
        <v>45689.916666666657</v>
      </c>
      <c r="B768">
        <f>4284.29621151552*(3/4)</f>
        <v>3213.2221586366404</v>
      </c>
    </row>
    <row r="769" spans="1:2" x14ac:dyDescent="0.3">
      <c r="A769" s="2">
        <v>45689.958333333343</v>
      </c>
      <c r="B769">
        <f>4419.60908279032*(3/4)</f>
        <v>3314.7068120927415</v>
      </c>
    </row>
    <row r="770" spans="1:2" x14ac:dyDescent="0.3">
      <c r="A770" s="2">
        <v>45690</v>
      </c>
      <c r="B770">
        <f>4695.70385675125*(3/4)</f>
        <v>3521.7778925634366</v>
      </c>
    </row>
    <row r="771" spans="1:2" x14ac:dyDescent="0.3">
      <c r="A771" s="2">
        <v>45690.041666666657</v>
      </c>
      <c r="B771">
        <f>4059.14815389206*(3/4)</f>
        <v>3044.3611154190485</v>
      </c>
    </row>
    <row r="772" spans="1:2" x14ac:dyDescent="0.3">
      <c r="A772" s="2">
        <v>45690.083333333343</v>
      </c>
      <c r="B772">
        <f>4362.27903276283*(3/4)</f>
        <v>3271.7092745721225</v>
      </c>
    </row>
    <row r="773" spans="1:2" x14ac:dyDescent="0.3">
      <c r="A773" s="2">
        <v>45690.125</v>
      </c>
      <c r="B773">
        <f>4591.33663744455*(3/4)</f>
        <v>3443.5024780834115</v>
      </c>
    </row>
    <row r="774" spans="1:2" x14ac:dyDescent="0.3">
      <c r="A774" s="2">
        <v>45690.166666666657</v>
      </c>
      <c r="B774">
        <f>4284.64793944383*(3/4)</f>
        <v>3213.4859545828726</v>
      </c>
    </row>
    <row r="775" spans="1:2" x14ac:dyDescent="0.3">
      <c r="A775" s="2">
        <v>45690.208333333343</v>
      </c>
      <c r="B775">
        <f>4231.50392535574*(3/4)</f>
        <v>3173.6279440168018</v>
      </c>
    </row>
    <row r="776" spans="1:2" x14ac:dyDescent="0.3">
      <c r="A776" s="2">
        <v>45690.25</v>
      </c>
      <c r="B776">
        <f>4413.14470313253*(3/4)</f>
        <v>3309.8585273493964</v>
      </c>
    </row>
    <row r="777" spans="1:2" x14ac:dyDescent="0.3">
      <c r="A777" s="2">
        <v>45690.291666666657</v>
      </c>
      <c r="B777">
        <f>4691.834203767*(3/4)</f>
        <v>3518.875652825247</v>
      </c>
    </row>
    <row r="778" spans="1:2" x14ac:dyDescent="0.3">
      <c r="A778" s="2">
        <v>45690.333333333343</v>
      </c>
      <c r="B778">
        <f>3527.75693803271*(3/4)</f>
        <v>2645.8177035245299</v>
      </c>
    </row>
    <row r="779" spans="1:2" x14ac:dyDescent="0.3">
      <c r="A779" s="2">
        <v>45690.375</v>
      </c>
      <c r="B779">
        <f>3268.16163989147*(3/4)</f>
        <v>2451.1212299185995</v>
      </c>
    </row>
    <row r="780" spans="1:2" x14ac:dyDescent="0.3">
      <c r="A780" s="2">
        <v>45690.416666666657</v>
      </c>
      <c r="B780">
        <f>3534.30977719739*(3/4)</f>
        <v>2650.7323328980447</v>
      </c>
    </row>
    <row r="781" spans="1:2" x14ac:dyDescent="0.3">
      <c r="A781" s="2">
        <v>45690.458333333343</v>
      </c>
      <c r="B781">
        <f>3188.6286281498*(3/4)</f>
        <v>2391.4714711123515</v>
      </c>
    </row>
    <row r="782" spans="1:2" x14ac:dyDescent="0.3">
      <c r="A782" s="2">
        <v>45690.5</v>
      </c>
      <c r="B782">
        <f>3945.30674673001*(3/4)</f>
        <v>2958.9800600475037</v>
      </c>
    </row>
    <row r="783" spans="1:2" x14ac:dyDescent="0.3">
      <c r="A783" s="2">
        <v>45690.541666666657</v>
      </c>
      <c r="B783">
        <f>3465.37356092835*(3/4)</f>
        <v>2599.0301706962623</v>
      </c>
    </row>
    <row r="784" spans="1:2" x14ac:dyDescent="0.3">
      <c r="A784" s="2">
        <v>45690.583333333343</v>
      </c>
      <c r="B784">
        <f>3221.93352535888*(3/4)</f>
        <v>2416.4501440191584</v>
      </c>
    </row>
    <row r="785" spans="1:2" x14ac:dyDescent="0.3">
      <c r="A785" s="2">
        <v>45690.625</v>
      </c>
      <c r="B785">
        <f>3784.70535339416*(3/4)</f>
        <v>2838.5290150456208</v>
      </c>
    </row>
    <row r="786" spans="1:2" x14ac:dyDescent="0.3">
      <c r="A786" s="2">
        <v>45690.666666666657</v>
      </c>
      <c r="B786">
        <f>3654.75131777551*(3/4)</f>
        <v>2741.0634883316347</v>
      </c>
    </row>
    <row r="787" spans="1:2" x14ac:dyDescent="0.3">
      <c r="A787" s="2">
        <v>45690.708333333343</v>
      </c>
      <c r="B787">
        <f>4413.14166849177*(3/4)</f>
        <v>3309.8562513688271</v>
      </c>
    </row>
    <row r="788" spans="1:2" x14ac:dyDescent="0.3">
      <c r="A788" s="2">
        <v>45690.75</v>
      </c>
      <c r="B788">
        <f>4363.42665076567*(3/4)</f>
        <v>3272.5699880742523</v>
      </c>
    </row>
    <row r="789" spans="1:2" x14ac:dyDescent="0.3">
      <c r="A789" s="2">
        <v>45690.791666666657</v>
      </c>
      <c r="B789">
        <f>4419.68804760648*(3/4)</f>
        <v>3314.766035704859</v>
      </c>
    </row>
    <row r="790" spans="1:2" x14ac:dyDescent="0.3">
      <c r="A790" s="2">
        <v>45690.833333333343</v>
      </c>
      <c r="B790">
        <f>4800*(3/4)</f>
        <v>3600</v>
      </c>
    </row>
    <row r="791" spans="1:2" x14ac:dyDescent="0.3">
      <c r="A791" s="2">
        <v>45690.875</v>
      </c>
      <c r="B791">
        <f>4703.42897432206*(3/4)</f>
        <v>3527.5717307415448</v>
      </c>
    </row>
    <row r="792" spans="1:2" x14ac:dyDescent="0.3">
      <c r="A792" s="2">
        <v>45690.916666666657</v>
      </c>
      <c r="B792">
        <f>4221.21607544873*(3/4)</f>
        <v>3165.9120565865496</v>
      </c>
    </row>
    <row r="793" spans="1:2" x14ac:dyDescent="0.3">
      <c r="A793" s="2">
        <v>45690.958333333343</v>
      </c>
      <c r="B793">
        <f>4421.54804879454*(3/4)</f>
        <v>3316.1610365959068</v>
      </c>
    </row>
    <row r="794" spans="1:2" x14ac:dyDescent="0.3">
      <c r="A794" s="2">
        <v>45691</v>
      </c>
      <c r="B794">
        <f>4540.14701434209*(3/4)</f>
        <v>3405.1102607565704</v>
      </c>
    </row>
    <row r="795" spans="1:2" x14ac:dyDescent="0.3">
      <c r="A795" s="2">
        <v>45691.041666666657</v>
      </c>
      <c r="B795">
        <f>4134.8982443931*(3/4)</f>
        <v>3101.1736832948263</v>
      </c>
    </row>
    <row r="796" spans="1:2" x14ac:dyDescent="0.3">
      <c r="A796" s="2">
        <v>45691.083333333343</v>
      </c>
      <c r="B796">
        <f>4405.56198196228*(3/4)</f>
        <v>3304.1714864717064</v>
      </c>
    </row>
    <row r="797" spans="1:2" x14ac:dyDescent="0.3">
      <c r="A797" s="2">
        <v>45691.125</v>
      </c>
      <c r="B797">
        <f>4147.01815020037*(3/4)</f>
        <v>3110.2636126502784</v>
      </c>
    </row>
    <row r="798" spans="1:2" x14ac:dyDescent="0.3">
      <c r="A798" s="2">
        <v>45691.166666666657</v>
      </c>
      <c r="B798">
        <f>4654.03626303463*(3/4)</f>
        <v>3490.5271972759729</v>
      </c>
    </row>
    <row r="799" spans="1:2" x14ac:dyDescent="0.3">
      <c r="A799" s="2">
        <v>45691.208333333343</v>
      </c>
      <c r="B799">
        <f>4328.70001452256*(3/4)</f>
        <v>3246.5250108919167</v>
      </c>
    </row>
    <row r="800" spans="1:2" x14ac:dyDescent="0.3">
      <c r="A800" s="2">
        <v>45691.25</v>
      </c>
      <c r="B800">
        <f>4128.72953158248*(3/4)</f>
        <v>3096.5471486868569</v>
      </c>
    </row>
    <row r="801" spans="1:2" x14ac:dyDescent="0.3">
      <c r="A801" s="2">
        <v>45691.291666666657</v>
      </c>
      <c r="B801">
        <f>4513.26888583704*(3/4)</f>
        <v>3384.9516643777833</v>
      </c>
    </row>
    <row r="802" spans="1:2" x14ac:dyDescent="0.3">
      <c r="A802" s="2">
        <v>45691.333333333343</v>
      </c>
      <c r="B802">
        <f>4597.67995716491*(3/4)</f>
        <v>3448.259967873686</v>
      </c>
    </row>
    <row r="803" spans="1:2" x14ac:dyDescent="0.3">
      <c r="A803" s="2">
        <v>45691.375</v>
      </c>
      <c r="B803">
        <f>4474.52706818749*(3/4)</f>
        <v>3355.8953011406147</v>
      </c>
    </row>
    <row r="804" spans="1:2" x14ac:dyDescent="0.3">
      <c r="A804" s="2">
        <v>45691.416666666657</v>
      </c>
      <c r="B804">
        <f>4584.91963379188*(3/4)</f>
        <v>3438.6897253439074</v>
      </c>
    </row>
    <row r="805" spans="1:2" x14ac:dyDescent="0.3">
      <c r="A805" s="2">
        <v>45691.458333333343</v>
      </c>
      <c r="B805">
        <f>4263.003990908*(3/4)</f>
        <v>3197.2529931810031</v>
      </c>
    </row>
    <row r="806" spans="1:2" x14ac:dyDescent="0.3">
      <c r="A806" s="2">
        <v>45691.5</v>
      </c>
      <c r="B806">
        <f>4800*(3/4)</f>
        <v>3600</v>
      </c>
    </row>
    <row r="807" spans="1:2" x14ac:dyDescent="0.3">
      <c r="A807" s="2">
        <v>45691.541666666657</v>
      </c>
      <c r="B807">
        <f>4800*(3/4)</f>
        <v>3600</v>
      </c>
    </row>
    <row r="808" spans="1:2" x14ac:dyDescent="0.3">
      <c r="A808" s="2">
        <v>45691.583333333343</v>
      </c>
      <c r="B808">
        <f>4240.22552102608*(3/4)</f>
        <v>3180.1691407695571</v>
      </c>
    </row>
    <row r="809" spans="1:2" x14ac:dyDescent="0.3">
      <c r="A809" s="2">
        <v>45691.625</v>
      </c>
      <c r="B809">
        <f>4399.67370530504*(3/4)</f>
        <v>3299.7552789787787</v>
      </c>
    </row>
    <row r="810" spans="1:2" x14ac:dyDescent="0.3">
      <c r="A810" s="2">
        <v>45691.666666666657</v>
      </c>
      <c r="B810">
        <f>4322.47733581632*(3/4)</f>
        <v>3241.8580018622433</v>
      </c>
    </row>
    <row r="811" spans="1:2" x14ac:dyDescent="0.3">
      <c r="A811" s="2">
        <v>45691.708333333343</v>
      </c>
      <c r="B811">
        <f>4397.03975190536*(3/4)</f>
        <v>3297.7798139290189</v>
      </c>
    </row>
    <row r="812" spans="1:2" x14ac:dyDescent="0.3">
      <c r="A812" s="2">
        <v>45691.75</v>
      </c>
      <c r="B812">
        <f>4429.73984262073*(3/4)</f>
        <v>3322.3048819655482</v>
      </c>
    </row>
    <row r="813" spans="1:2" x14ac:dyDescent="0.3">
      <c r="A813" s="2">
        <v>45691.791666666657</v>
      </c>
      <c r="B813">
        <f>4185.68844550322*(3/4)</f>
        <v>3139.266334127416</v>
      </c>
    </row>
    <row r="814" spans="1:2" x14ac:dyDescent="0.3">
      <c r="A814" s="2">
        <v>45691.833333333343</v>
      </c>
      <c r="B814">
        <f>4771.82287866681*(3/4)</f>
        <v>3578.86715900011</v>
      </c>
    </row>
    <row r="815" spans="1:2" x14ac:dyDescent="0.3">
      <c r="A815" s="2">
        <v>45691.875</v>
      </c>
      <c r="B815">
        <f>4157.52998810199*(3/4)</f>
        <v>3118.1474910764955</v>
      </c>
    </row>
    <row r="816" spans="1:2" x14ac:dyDescent="0.3">
      <c r="A816" s="2">
        <v>45691.916666666657</v>
      </c>
      <c r="B816">
        <f>3992.37720615286*(3/4)</f>
        <v>2994.282904614648</v>
      </c>
    </row>
    <row r="817" spans="1:2" x14ac:dyDescent="0.3">
      <c r="A817" s="2">
        <v>45691.958333333343</v>
      </c>
      <c r="B817">
        <f>4354.63158388838*(3/4)</f>
        <v>3265.9736879162879</v>
      </c>
    </row>
    <row r="818" spans="1:2" x14ac:dyDescent="0.3">
      <c r="A818" s="2">
        <v>45692</v>
      </c>
      <c r="B818">
        <f>4301.8183796468*(3/4)</f>
        <v>3226.3637847350983</v>
      </c>
    </row>
    <row r="819" spans="1:2" x14ac:dyDescent="0.3">
      <c r="A819" s="2">
        <v>45692.041666666657</v>
      </c>
      <c r="B819">
        <f>4179.1102167171*(3/4)</f>
        <v>3134.3326625378286</v>
      </c>
    </row>
    <row r="820" spans="1:2" x14ac:dyDescent="0.3">
      <c r="A820" s="2">
        <v>45692.083333333343</v>
      </c>
      <c r="B820">
        <f>4151.12730809114*(3/4)</f>
        <v>3113.345481068352</v>
      </c>
    </row>
    <row r="821" spans="1:2" x14ac:dyDescent="0.3">
      <c r="A821" s="2">
        <v>45692.125</v>
      </c>
      <c r="B821">
        <f>4084.27113146481*(3/4)</f>
        <v>3063.2033485986076</v>
      </c>
    </row>
    <row r="822" spans="1:2" x14ac:dyDescent="0.3">
      <c r="A822" s="2">
        <v>45692.166666666657</v>
      </c>
      <c r="B822">
        <f>4262.49731643294*(3/4)</f>
        <v>3196.8729873247048</v>
      </c>
    </row>
    <row r="823" spans="1:2" x14ac:dyDescent="0.3">
      <c r="A823" s="2">
        <v>45692.208333333343</v>
      </c>
      <c r="B823">
        <f>4388.11613605027*(3/4)</f>
        <v>3291.0871020377044</v>
      </c>
    </row>
    <row r="824" spans="1:2" x14ac:dyDescent="0.3">
      <c r="A824" s="2">
        <v>45692.25</v>
      </c>
      <c r="B824">
        <f>4175.9322227281*(3/4)</f>
        <v>3131.9491670460739</v>
      </c>
    </row>
    <row r="825" spans="1:2" x14ac:dyDescent="0.3">
      <c r="A825" s="2">
        <v>45692.291666666657</v>
      </c>
      <c r="B825">
        <f>4435.72381629863*(3/4)</f>
        <v>3326.7928622239715</v>
      </c>
    </row>
    <row r="826" spans="1:2" x14ac:dyDescent="0.3">
      <c r="A826" s="2">
        <v>45692.333333333343</v>
      </c>
      <c r="B826">
        <f>4464.85380937572*(3/4)</f>
        <v>3348.6403570317907</v>
      </c>
    </row>
    <row r="827" spans="1:2" x14ac:dyDescent="0.3">
      <c r="A827" s="2">
        <v>45692.375</v>
      </c>
      <c r="B827">
        <f>4325.94965943429*(3/4)</f>
        <v>3244.4622445757186</v>
      </c>
    </row>
    <row r="828" spans="1:2" x14ac:dyDescent="0.3">
      <c r="A828" s="2">
        <v>45692.416666666657</v>
      </c>
      <c r="B828">
        <f>4506.35200807566*(3/4)</f>
        <v>3379.7640060567419</v>
      </c>
    </row>
    <row r="829" spans="1:2" x14ac:dyDescent="0.3">
      <c r="A829" s="2">
        <v>45692.458333333343</v>
      </c>
      <c r="B829">
        <f>4384.53956417801*(3/4)</f>
        <v>3288.4046731335052</v>
      </c>
    </row>
    <row r="830" spans="1:2" x14ac:dyDescent="0.3">
      <c r="A830" s="2">
        <v>45692.5</v>
      </c>
      <c r="B830">
        <f>4085.99893638137*(3/4)</f>
        <v>3064.4992022860283</v>
      </c>
    </row>
    <row r="831" spans="1:2" x14ac:dyDescent="0.3">
      <c r="A831" s="2">
        <v>45692.541666666657</v>
      </c>
      <c r="B831">
        <f>4331.06670640313*(3/4)</f>
        <v>3248.3000298023485</v>
      </c>
    </row>
    <row r="832" spans="1:2" x14ac:dyDescent="0.3">
      <c r="A832" s="2">
        <v>45692.583333333343</v>
      </c>
      <c r="B832">
        <f>4215.14146842701*(3/4)</f>
        <v>3161.3561013202584</v>
      </c>
    </row>
    <row r="833" spans="1:2" x14ac:dyDescent="0.3">
      <c r="A833" s="2">
        <v>45692.625</v>
      </c>
      <c r="B833">
        <f>4252.79876922645*(3/4)</f>
        <v>3189.5990769198393</v>
      </c>
    </row>
    <row r="834" spans="1:2" x14ac:dyDescent="0.3">
      <c r="A834" s="2">
        <v>45692.666666666657</v>
      </c>
      <c r="B834">
        <f>4341.56377712352*(3/4)</f>
        <v>3256.1728328426398</v>
      </c>
    </row>
    <row r="835" spans="1:2" x14ac:dyDescent="0.3">
      <c r="A835" s="2">
        <v>45692.708333333343</v>
      </c>
      <c r="B835">
        <f>4459.82258917689*(3/4)</f>
        <v>3344.8669418826639</v>
      </c>
    </row>
    <row r="836" spans="1:2" x14ac:dyDescent="0.3">
      <c r="A836" s="2">
        <v>45692.75</v>
      </c>
      <c r="B836">
        <f>4702.54642453295*(3/4)</f>
        <v>3526.9098183997103</v>
      </c>
    </row>
    <row r="837" spans="1:2" x14ac:dyDescent="0.3">
      <c r="A837" s="2">
        <v>45692.791666666657</v>
      </c>
      <c r="B837">
        <f>4386.7603675003*(3/4)</f>
        <v>3290.0702756252267</v>
      </c>
    </row>
    <row r="838" spans="1:2" x14ac:dyDescent="0.3">
      <c r="A838" s="2">
        <v>45692.833333333343</v>
      </c>
      <c r="B838">
        <f>4362.32627092493*(3/4)</f>
        <v>3271.7447031936977</v>
      </c>
    </row>
    <row r="839" spans="1:2" x14ac:dyDescent="0.3">
      <c r="A839" s="2">
        <v>45692.875</v>
      </c>
      <c r="B839">
        <f>4617.82766190817*(3/4)</f>
        <v>3463.3707464311246</v>
      </c>
    </row>
    <row r="840" spans="1:2" x14ac:dyDescent="0.3">
      <c r="A840" s="2">
        <v>45692.916666666657</v>
      </c>
      <c r="B840">
        <f>3956.65745481593*(3/4)</f>
        <v>2967.4930911119436</v>
      </c>
    </row>
    <row r="841" spans="1:2" x14ac:dyDescent="0.3">
      <c r="A841" s="2">
        <v>45692.958333333343</v>
      </c>
      <c r="B841">
        <f>4377.61201761133*(3/4)</f>
        <v>3283.2090132084941</v>
      </c>
    </row>
    <row r="842" spans="1:2" x14ac:dyDescent="0.3">
      <c r="A842" s="2">
        <v>45693</v>
      </c>
      <c r="B842">
        <f>4026.76413294801*(3/4)</f>
        <v>3020.0730997110072</v>
      </c>
    </row>
    <row r="843" spans="1:2" x14ac:dyDescent="0.3">
      <c r="A843" s="2">
        <v>45693.041666666657</v>
      </c>
      <c r="B843">
        <f>4309.87658628412*(3/4)</f>
        <v>3232.4074397130908</v>
      </c>
    </row>
    <row r="844" spans="1:2" x14ac:dyDescent="0.3">
      <c r="A844" s="2">
        <v>45693.083333333343</v>
      </c>
      <c r="B844">
        <f>4289.88471149385*(3/4)</f>
        <v>3217.4135336203863</v>
      </c>
    </row>
    <row r="845" spans="1:2" x14ac:dyDescent="0.3">
      <c r="A845" s="2">
        <v>45693.125</v>
      </c>
      <c r="B845">
        <f>4559.96952069338*(3/4)</f>
        <v>3419.9771405200327</v>
      </c>
    </row>
    <row r="846" spans="1:2" x14ac:dyDescent="0.3">
      <c r="A846" s="2">
        <v>45693.166666666657</v>
      </c>
      <c r="B846">
        <f>4413.95856452599*(3/4)</f>
        <v>3310.46892339449</v>
      </c>
    </row>
    <row r="847" spans="1:2" x14ac:dyDescent="0.3">
      <c r="A847" s="2">
        <v>45693.208333333343</v>
      </c>
      <c r="B847">
        <f>4326.89887962189*(3/4)</f>
        <v>3245.1741597164182</v>
      </c>
    </row>
    <row r="848" spans="1:2" x14ac:dyDescent="0.3">
      <c r="A848" s="2">
        <v>45693.25</v>
      </c>
      <c r="B848">
        <f>4100.2881349009*(3/4)</f>
        <v>3075.2161011756734</v>
      </c>
    </row>
    <row r="849" spans="1:2" x14ac:dyDescent="0.3">
      <c r="A849" s="2">
        <v>45693.291666666657</v>
      </c>
      <c r="B849">
        <f>4438.14504859862*(3/4)</f>
        <v>3328.6087864489668</v>
      </c>
    </row>
    <row r="850" spans="1:2" x14ac:dyDescent="0.3">
      <c r="A850" s="2">
        <v>45693.333333333343</v>
      </c>
      <c r="B850">
        <f>4202.97026677949*(3/4)</f>
        <v>3152.2277000846188</v>
      </c>
    </row>
    <row r="851" spans="1:2" x14ac:dyDescent="0.3">
      <c r="A851" s="2">
        <v>45693.375</v>
      </c>
      <c r="B851">
        <f>4600.10296121823*(3/4)</f>
        <v>3450.0772209136694</v>
      </c>
    </row>
    <row r="852" spans="1:2" x14ac:dyDescent="0.3">
      <c r="A852" s="2">
        <v>45693.416666666657</v>
      </c>
      <c r="B852">
        <f>4425.90862086155*(3/4)</f>
        <v>3319.4314656461638</v>
      </c>
    </row>
    <row r="853" spans="1:2" x14ac:dyDescent="0.3">
      <c r="A853" s="2">
        <v>45693.458333333343</v>
      </c>
      <c r="B853">
        <f>4493.37220800947*(3/4)</f>
        <v>3370.0291560070991</v>
      </c>
    </row>
    <row r="854" spans="1:2" x14ac:dyDescent="0.3">
      <c r="A854" s="2">
        <v>45693.5</v>
      </c>
      <c r="B854">
        <f>4505.38686460277*(3/4)</f>
        <v>3379.0401484520789</v>
      </c>
    </row>
    <row r="855" spans="1:2" x14ac:dyDescent="0.3">
      <c r="A855" s="2">
        <v>45693.541666666657</v>
      </c>
      <c r="B855">
        <f>4187.83795754784*(3/4)</f>
        <v>3140.8784681608822</v>
      </c>
    </row>
    <row r="856" spans="1:2" x14ac:dyDescent="0.3">
      <c r="A856" s="2">
        <v>45693.583333333343</v>
      </c>
      <c r="B856">
        <f>4025.25700218676*(3/4)</f>
        <v>3018.9427516400706</v>
      </c>
    </row>
    <row r="857" spans="1:2" x14ac:dyDescent="0.3">
      <c r="A857" s="2">
        <v>45693.625</v>
      </c>
      <c r="B857">
        <f>4482.96514271127*(3/4)</f>
        <v>3362.2238570334521</v>
      </c>
    </row>
    <row r="858" spans="1:2" x14ac:dyDescent="0.3">
      <c r="A858" s="2">
        <v>45693.666666666657</v>
      </c>
      <c r="B858">
        <f>4252.44469009309*(3/4)</f>
        <v>3189.3335175698157</v>
      </c>
    </row>
    <row r="859" spans="1:2" x14ac:dyDescent="0.3">
      <c r="A859" s="2">
        <v>45693.708333333343</v>
      </c>
      <c r="B859">
        <f>4412.4805062133*(3/4)</f>
        <v>3309.3603796599773</v>
      </c>
    </row>
    <row r="860" spans="1:2" x14ac:dyDescent="0.3">
      <c r="A860" s="2">
        <v>45693.75</v>
      </c>
      <c r="B860">
        <f>4395.66698761935*(3/4)</f>
        <v>3296.7502407145098</v>
      </c>
    </row>
    <row r="861" spans="1:2" x14ac:dyDescent="0.3">
      <c r="A861" s="2">
        <v>45693.791666666657</v>
      </c>
      <c r="B861">
        <f>4310.41471359297*(3/4)</f>
        <v>3232.8110351947262</v>
      </c>
    </row>
    <row r="862" spans="1:2" x14ac:dyDescent="0.3">
      <c r="A862" s="2">
        <v>45693.833333333343</v>
      </c>
      <c r="B862">
        <f>4800*(3/4)</f>
        <v>3600</v>
      </c>
    </row>
    <row r="863" spans="1:2" x14ac:dyDescent="0.3">
      <c r="A863" s="2">
        <v>45693.875</v>
      </c>
      <c r="B863">
        <f>4475.83032616375*(3/4)</f>
        <v>3356.8727446228127</v>
      </c>
    </row>
    <row r="864" spans="1:2" x14ac:dyDescent="0.3">
      <c r="A864" s="2">
        <v>45693.916666666657</v>
      </c>
      <c r="B864">
        <f>4274.67100880554*(3/4)</f>
        <v>3206.0032566041527</v>
      </c>
    </row>
    <row r="865" spans="1:2" x14ac:dyDescent="0.3">
      <c r="A865" s="2">
        <v>45693.958333333343</v>
      </c>
      <c r="B865">
        <f>4361.24727438981*(3/4)</f>
        <v>3270.9354557923571</v>
      </c>
    </row>
    <row r="866" spans="1:2" x14ac:dyDescent="0.3">
      <c r="A866" s="2">
        <v>45694</v>
      </c>
      <c r="B866">
        <f>4166.26876389577*(3/4)</f>
        <v>3124.7015729218265</v>
      </c>
    </row>
    <row r="867" spans="1:2" x14ac:dyDescent="0.3">
      <c r="A867" s="2">
        <v>45694.041666666657</v>
      </c>
      <c r="B867">
        <f>4116.45782794806*(3/4)</f>
        <v>3087.3433709610445</v>
      </c>
    </row>
    <row r="868" spans="1:2" x14ac:dyDescent="0.3">
      <c r="A868" s="2">
        <v>45694.083333333343</v>
      </c>
      <c r="B868">
        <f>4446.84911652943*(3/4)</f>
        <v>3335.1368373970731</v>
      </c>
    </row>
    <row r="869" spans="1:2" x14ac:dyDescent="0.3">
      <c r="A869" s="2">
        <v>45694.125</v>
      </c>
      <c r="B869">
        <f>4316.46139899305*(3/4)</f>
        <v>3237.3460492447894</v>
      </c>
    </row>
    <row r="870" spans="1:2" x14ac:dyDescent="0.3">
      <c r="A870" s="2">
        <v>45694.166666666657</v>
      </c>
      <c r="B870">
        <f>4578.83532750096*(3/4)</f>
        <v>3434.1264956257182</v>
      </c>
    </row>
    <row r="871" spans="1:2" x14ac:dyDescent="0.3">
      <c r="A871" s="2">
        <v>45694.208333333343</v>
      </c>
      <c r="B871">
        <f>4484.88948256078*(3/4)</f>
        <v>3363.667111920583</v>
      </c>
    </row>
    <row r="872" spans="1:2" x14ac:dyDescent="0.3">
      <c r="A872" s="2">
        <v>45694.25</v>
      </c>
      <c r="B872">
        <f>4374.83943842766*(3/4)</f>
        <v>3281.1295788207453</v>
      </c>
    </row>
    <row r="873" spans="1:2" x14ac:dyDescent="0.3">
      <c r="A873" s="2">
        <v>45694.291666666657</v>
      </c>
      <c r="B873">
        <f>4485.01849586044*(3/4)</f>
        <v>3363.7638718953303</v>
      </c>
    </row>
    <row r="874" spans="1:2" x14ac:dyDescent="0.3">
      <c r="A874" s="2">
        <v>45694.333333333343</v>
      </c>
      <c r="B874">
        <f>4356.12717287296*(3/4)</f>
        <v>3267.095379654721</v>
      </c>
    </row>
    <row r="875" spans="1:2" x14ac:dyDescent="0.3">
      <c r="A875" s="2">
        <v>45694.375</v>
      </c>
      <c r="B875">
        <f>4447.7773643068*(3/4)</f>
        <v>3335.8330232301023</v>
      </c>
    </row>
    <row r="876" spans="1:2" x14ac:dyDescent="0.3">
      <c r="A876" s="2">
        <v>45694.416666666657</v>
      </c>
      <c r="B876">
        <f>4751.19277795722*(3/4)</f>
        <v>3563.3945834679175</v>
      </c>
    </row>
    <row r="877" spans="1:2" x14ac:dyDescent="0.3">
      <c r="A877" s="2">
        <v>45694.458333333343</v>
      </c>
      <c r="B877">
        <f>4579.22300135549*(3/4)</f>
        <v>3434.4172510166181</v>
      </c>
    </row>
    <row r="878" spans="1:2" x14ac:dyDescent="0.3">
      <c r="A878" s="2">
        <v>45694.5</v>
      </c>
      <c r="B878">
        <f>4689.6314944402*(3/4)</f>
        <v>3517.2236208301492</v>
      </c>
    </row>
    <row r="879" spans="1:2" x14ac:dyDescent="0.3">
      <c r="A879" s="2">
        <v>45694.541666666657</v>
      </c>
      <c r="B879">
        <f>4480.08570477029*(3/4)</f>
        <v>3360.0642785777145</v>
      </c>
    </row>
    <row r="880" spans="1:2" x14ac:dyDescent="0.3">
      <c r="A880" s="2">
        <v>45694.583333333343</v>
      </c>
      <c r="B880">
        <f>3985.7134184898*(3/4)</f>
        <v>2989.2850638673485</v>
      </c>
    </row>
    <row r="881" spans="1:2" x14ac:dyDescent="0.3">
      <c r="A881" s="2">
        <v>45694.625</v>
      </c>
      <c r="B881">
        <f>4255.83154978206*(3/4)</f>
        <v>3191.8736623365439</v>
      </c>
    </row>
    <row r="882" spans="1:2" x14ac:dyDescent="0.3">
      <c r="A882" s="2">
        <v>45694.666666666657</v>
      </c>
      <c r="B882">
        <f>4482.81872057636*(3/4)</f>
        <v>3362.1140404322714</v>
      </c>
    </row>
    <row r="883" spans="1:2" x14ac:dyDescent="0.3">
      <c r="A883" s="2">
        <v>45694.708333333343</v>
      </c>
      <c r="B883">
        <f>4543.55909026606*(3/4)</f>
        <v>3407.6693176995441</v>
      </c>
    </row>
    <row r="884" spans="1:2" x14ac:dyDescent="0.3">
      <c r="A884" s="2">
        <v>45694.75</v>
      </c>
      <c r="B884">
        <f>4400.23421098731*(3/4)</f>
        <v>3300.1756582404851</v>
      </c>
    </row>
    <row r="885" spans="1:2" x14ac:dyDescent="0.3">
      <c r="A885" s="2">
        <v>45694.791666666657</v>
      </c>
      <c r="B885">
        <f>4556.53571897055*(3/4)</f>
        <v>3417.4017892279116</v>
      </c>
    </row>
    <row r="886" spans="1:2" x14ac:dyDescent="0.3">
      <c r="A886" s="2">
        <v>45694.833333333343</v>
      </c>
      <c r="B886">
        <f>4731.40104168286*(3/4)</f>
        <v>3548.5507812621472</v>
      </c>
    </row>
    <row r="887" spans="1:2" x14ac:dyDescent="0.3">
      <c r="A887" s="2">
        <v>45694.875</v>
      </c>
      <c r="B887">
        <f>4247.89568791637*(3/4)</f>
        <v>3185.9217659372789</v>
      </c>
    </row>
    <row r="888" spans="1:2" x14ac:dyDescent="0.3">
      <c r="A888" s="2">
        <v>45694.916666666657</v>
      </c>
      <c r="B888">
        <f>4401.84095929985*(3/4)</f>
        <v>3301.3807194748906</v>
      </c>
    </row>
    <row r="889" spans="1:2" x14ac:dyDescent="0.3">
      <c r="A889" s="2">
        <v>45694.958333333343</v>
      </c>
      <c r="B889">
        <f>4519.1112791326*(3/4)</f>
        <v>3389.3334593494501</v>
      </c>
    </row>
    <row r="890" spans="1:2" x14ac:dyDescent="0.3">
      <c r="A890" s="2">
        <v>45695</v>
      </c>
      <c r="B890">
        <f>4731.5459008534*(3/4)</f>
        <v>3548.6594256400499</v>
      </c>
    </row>
    <row r="891" spans="1:2" x14ac:dyDescent="0.3">
      <c r="A891" s="2">
        <v>45695.041666666657</v>
      </c>
      <c r="B891">
        <f>4499.35951035425*(3/4)</f>
        <v>3374.5196327656849</v>
      </c>
    </row>
    <row r="892" spans="1:2" x14ac:dyDescent="0.3">
      <c r="A892" s="2">
        <v>45695.083333333343</v>
      </c>
      <c r="B892">
        <f>4307.06548050379*(3/4)</f>
        <v>3230.29911037784</v>
      </c>
    </row>
    <row r="893" spans="1:2" x14ac:dyDescent="0.3">
      <c r="A893" s="2">
        <v>45695.125</v>
      </c>
      <c r="B893">
        <f>4434.8938874838*(3/4)</f>
        <v>3326.1704156128503</v>
      </c>
    </row>
    <row r="894" spans="1:2" x14ac:dyDescent="0.3">
      <c r="A894" s="2">
        <v>45695.166666666657</v>
      </c>
      <c r="B894">
        <f>4392.76639612789*(3/4)</f>
        <v>3294.5747970959183</v>
      </c>
    </row>
    <row r="895" spans="1:2" x14ac:dyDescent="0.3">
      <c r="A895" s="2">
        <v>45695.208333333343</v>
      </c>
      <c r="B895">
        <f>4137.05752136519*(3/4)</f>
        <v>3102.7931410238898</v>
      </c>
    </row>
    <row r="896" spans="1:2" x14ac:dyDescent="0.3">
      <c r="A896" s="2">
        <v>45695.25</v>
      </c>
      <c r="B896">
        <f>4095.34251605745*(3/4)</f>
        <v>3071.5068870430882</v>
      </c>
    </row>
    <row r="897" spans="1:2" x14ac:dyDescent="0.3">
      <c r="A897" s="2">
        <v>45695.291666666657</v>
      </c>
      <c r="B897">
        <f>4544.42334697356*(3/4)</f>
        <v>3408.3175102301666</v>
      </c>
    </row>
    <row r="898" spans="1:2" x14ac:dyDescent="0.3">
      <c r="A898" s="2">
        <v>45695.333333333343</v>
      </c>
      <c r="B898">
        <f>4337.41718339602*(3/4)</f>
        <v>3253.0628875470175</v>
      </c>
    </row>
    <row r="899" spans="1:2" x14ac:dyDescent="0.3">
      <c r="A899" s="2">
        <v>45695.375</v>
      </c>
      <c r="B899">
        <f>4265.05860579509*(3/4)</f>
        <v>3198.7939543463181</v>
      </c>
    </row>
    <row r="900" spans="1:2" x14ac:dyDescent="0.3">
      <c r="A900" s="2">
        <v>45695.416666666657</v>
      </c>
      <c r="B900">
        <f>4220.03881920379*(3/4)</f>
        <v>3165.0291144028442</v>
      </c>
    </row>
    <row r="901" spans="1:2" x14ac:dyDescent="0.3">
      <c r="A901" s="2">
        <v>45695.458333333343</v>
      </c>
      <c r="B901">
        <f>4184.97952335224*(3/4)</f>
        <v>3138.7346425141768</v>
      </c>
    </row>
    <row r="902" spans="1:2" x14ac:dyDescent="0.3">
      <c r="A902" s="2">
        <v>45695.5</v>
      </c>
      <c r="B902">
        <f>4291.80841694397*(3/4)</f>
        <v>3218.8563127079747</v>
      </c>
    </row>
    <row r="903" spans="1:2" x14ac:dyDescent="0.3">
      <c r="A903" s="2">
        <v>45695.541666666657</v>
      </c>
      <c r="B903">
        <f>4657.68286946976*(3/4)</f>
        <v>3493.262152102317</v>
      </c>
    </row>
    <row r="904" spans="1:2" x14ac:dyDescent="0.3">
      <c r="A904" s="2">
        <v>45695.583333333343</v>
      </c>
      <c r="B904">
        <f>3997.5848326516*(3/4)</f>
        <v>2998.1886244887023</v>
      </c>
    </row>
    <row r="905" spans="1:2" x14ac:dyDescent="0.3">
      <c r="A905" s="2">
        <v>45695.625</v>
      </c>
      <c r="B905">
        <f>4600.88851809114*(3/4)</f>
        <v>3450.6663885683556</v>
      </c>
    </row>
    <row r="906" spans="1:2" x14ac:dyDescent="0.3">
      <c r="A906" s="2">
        <v>45695.666666666657</v>
      </c>
      <c r="B906">
        <f>4138.35800272576*(3/4)</f>
        <v>3103.7685020443196</v>
      </c>
    </row>
    <row r="907" spans="1:2" x14ac:dyDescent="0.3">
      <c r="A907" s="2">
        <v>45695.708333333343</v>
      </c>
      <c r="B907">
        <f>4455.11133746551*(3/4)</f>
        <v>3341.3335030991329</v>
      </c>
    </row>
    <row r="908" spans="1:2" x14ac:dyDescent="0.3">
      <c r="A908" s="2">
        <v>45695.75</v>
      </c>
      <c r="B908">
        <f>4299.41368455855*(3/4)</f>
        <v>3224.5602634189158</v>
      </c>
    </row>
    <row r="909" spans="1:2" x14ac:dyDescent="0.3">
      <c r="A909" s="2">
        <v>45695.791666666657</v>
      </c>
      <c r="B909">
        <f>4226.47548248906*(3/4)</f>
        <v>3169.8566118667982</v>
      </c>
    </row>
    <row r="910" spans="1:2" x14ac:dyDescent="0.3">
      <c r="A910" s="2">
        <v>45695.833333333343</v>
      </c>
      <c r="B910">
        <f>4173.2906604188*(3/4)</f>
        <v>3129.9679953140981</v>
      </c>
    </row>
    <row r="911" spans="1:2" x14ac:dyDescent="0.3">
      <c r="A911" s="2">
        <v>45695.875</v>
      </c>
      <c r="B911">
        <f>4558.8909780664*(3/4)</f>
        <v>3419.1682335497962</v>
      </c>
    </row>
    <row r="912" spans="1:2" x14ac:dyDescent="0.3">
      <c r="A912" s="2">
        <v>45695.916666666657</v>
      </c>
      <c r="B912">
        <f>3940.99615201968*(3/4)</f>
        <v>2955.7471140147627</v>
      </c>
    </row>
    <row r="913" spans="1:2" x14ac:dyDescent="0.3">
      <c r="A913" s="2">
        <v>45695.958333333343</v>
      </c>
      <c r="B913">
        <f>4543.0710922568*(3/4)</f>
        <v>3407.3033191925997</v>
      </c>
    </row>
    <row r="914" spans="1:2" x14ac:dyDescent="0.3">
      <c r="A914" s="2">
        <v>45696</v>
      </c>
      <c r="B914">
        <f>3939.19922446073*(3/4)</f>
        <v>2954.3994183455479</v>
      </c>
    </row>
    <row r="915" spans="1:2" x14ac:dyDescent="0.3">
      <c r="A915" s="2">
        <v>45696.041666666657</v>
      </c>
      <c r="B915">
        <f>4136.42835113787*(3/4)</f>
        <v>3102.3212633534031</v>
      </c>
    </row>
    <row r="916" spans="1:2" x14ac:dyDescent="0.3">
      <c r="A916" s="2">
        <v>45696.083333333343</v>
      </c>
      <c r="B916">
        <f>4494.6960129005*(3/4)</f>
        <v>3371.0220096753719</v>
      </c>
    </row>
    <row r="917" spans="1:2" x14ac:dyDescent="0.3">
      <c r="A917" s="2">
        <v>45696.125</v>
      </c>
      <c r="B917">
        <f>4146.93210053815*(3/4)</f>
        <v>3110.1990754036142</v>
      </c>
    </row>
    <row r="918" spans="1:2" x14ac:dyDescent="0.3">
      <c r="A918" s="2">
        <v>45696.166666666657</v>
      </c>
      <c r="B918">
        <f>4602.31085733581*(3/4)</f>
        <v>3451.7331430018598</v>
      </c>
    </row>
    <row r="919" spans="1:2" x14ac:dyDescent="0.3">
      <c r="A919" s="2">
        <v>45696.208333333343</v>
      </c>
      <c r="B919">
        <f>4543.87763555052*(3/4)</f>
        <v>3407.9082266628898</v>
      </c>
    </row>
    <row r="920" spans="1:2" x14ac:dyDescent="0.3">
      <c r="A920" s="2">
        <v>45696.25</v>
      </c>
      <c r="B920">
        <f>4065.62069516835*(3/4)</f>
        <v>3049.2155213762599</v>
      </c>
    </row>
    <row r="921" spans="1:2" x14ac:dyDescent="0.3">
      <c r="A921" s="2">
        <v>45696.291666666657</v>
      </c>
      <c r="B921">
        <f>4247.24288348445*(3/4)</f>
        <v>3185.4321626133415</v>
      </c>
    </row>
    <row r="922" spans="1:2" x14ac:dyDescent="0.3">
      <c r="A922" s="2">
        <v>45696.333333333343</v>
      </c>
      <c r="B922">
        <f>4531.36722026204*(3/4)</f>
        <v>3398.5254151965282</v>
      </c>
    </row>
    <row r="923" spans="1:2" x14ac:dyDescent="0.3">
      <c r="A923" s="2">
        <v>45696.375</v>
      </c>
      <c r="B923">
        <f>4265.69529873497*(3/4)</f>
        <v>3199.2714740512274</v>
      </c>
    </row>
    <row r="924" spans="1:2" x14ac:dyDescent="0.3">
      <c r="A924" s="2">
        <v>45696.416666666657</v>
      </c>
      <c r="B924">
        <f>4525.85035128126*(3/4)</f>
        <v>3394.387763460948</v>
      </c>
    </row>
    <row r="925" spans="1:2" x14ac:dyDescent="0.3">
      <c r="A925" s="2">
        <v>45696.458333333343</v>
      </c>
      <c r="B925">
        <f>4371.88916763201*(3/4)</f>
        <v>3278.9168757240068</v>
      </c>
    </row>
    <row r="926" spans="1:2" x14ac:dyDescent="0.3">
      <c r="A926" s="2">
        <v>45696.5</v>
      </c>
      <c r="B926">
        <f>4318.41655716733*(3/4)</f>
        <v>3238.8124178754979</v>
      </c>
    </row>
    <row r="927" spans="1:2" x14ac:dyDescent="0.3">
      <c r="A927" s="2">
        <v>45696.541666666657</v>
      </c>
      <c r="B927">
        <f>4410.19534022229*(3/4)</f>
        <v>3307.6465051667146</v>
      </c>
    </row>
    <row r="928" spans="1:2" x14ac:dyDescent="0.3">
      <c r="A928" s="2">
        <v>45696.583333333343</v>
      </c>
      <c r="B928">
        <f>4369.65085630469*(3/4)</f>
        <v>3277.2381422285171</v>
      </c>
    </row>
    <row r="929" spans="1:2" x14ac:dyDescent="0.3">
      <c r="A929" s="2">
        <v>45696.625</v>
      </c>
      <c r="B929">
        <f>4261.32374419943*(3/4)</f>
        <v>3195.9928081495691</v>
      </c>
    </row>
    <row r="930" spans="1:2" x14ac:dyDescent="0.3">
      <c r="A930" s="2">
        <v>45696.666666666657</v>
      </c>
      <c r="B930">
        <f>4724.63638412754*(3/4)</f>
        <v>3543.4772880956552</v>
      </c>
    </row>
    <row r="931" spans="1:2" x14ac:dyDescent="0.3">
      <c r="A931" s="2">
        <v>45696.708333333343</v>
      </c>
      <c r="B931">
        <f>4645.39991370323*(3/4)</f>
        <v>3484.049935277425</v>
      </c>
    </row>
    <row r="932" spans="1:2" x14ac:dyDescent="0.3">
      <c r="A932" s="2">
        <v>45696.75</v>
      </c>
      <c r="B932">
        <f>4420.43889756828*(3/4)</f>
        <v>3315.3291731762097</v>
      </c>
    </row>
    <row r="933" spans="1:2" x14ac:dyDescent="0.3">
      <c r="A933" s="2">
        <v>45696.791666666657</v>
      </c>
      <c r="B933">
        <f>4526.76501568631*(3/4)</f>
        <v>3395.0737617647333</v>
      </c>
    </row>
    <row r="934" spans="1:2" x14ac:dyDescent="0.3">
      <c r="A934" s="2">
        <v>45696.833333333343</v>
      </c>
      <c r="B934">
        <f>4515.94514737448*(3/4)</f>
        <v>3386.9588605308627</v>
      </c>
    </row>
    <row r="935" spans="1:2" x14ac:dyDescent="0.3">
      <c r="A935" s="2">
        <v>45696.875</v>
      </c>
      <c r="B935">
        <f>4428.67244957544*(3/4)</f>
        <v>3321.5043371815773</v>
      </c>
    </row>
    <row r="936" spans="1:2" x14ac:dyDescent="0.3">
      <c r="A936" s="2">
        <v>45696.916666666657</v>
      </c>
      <c r="B936">
        <f>4304.47681960476*(3/4)</f>
        <v>3228.3576147035674</v>
      </c>
    </row>
    <row r="937" spans="1:2" x14ac:dyDescent="0.3">
      <c r="A937" s="2">
        <v>45696.958333333343</v>
      </c>
      <c r="B937">
        <f>4467.2341797609*(3/4)</f>
        <v>3350.4256348206754</v>
      </c>
    </row>
    <row r="938" spans="1:2" x14ac:dyDescent="0.3">
      <c r="A938" s="2">
        <v>45697</v>
      </c>
      <c r="B938">
        <f>4195.62025637769*(3/4)</f>
        <v>3146.7151922832672</v>
      </c>
    </row>
    <row r="939" spans="1:2" x14ac:dyDescent="0.3">
      <c r="A939" s="2">
        <v>45697.041666666657</v>
      </c>
      <c r="B939">
        <f>4407.25728911834*(3/4)</f>
        <v>3305.4429668387556</v>
      </c>
    </row>
    <row r="940" spans="1:2" x14ac:dyDescent="0.3">
      <c r="A940" s="2">
        <v>45697.083333333343</v>
      </c>
      <c r="B940">
        <f>4172.29347174462*(3/4)</f>
        <v>3129.2201038084677</v>
      </c>
    </row>
    <row r="941" spans="1:2" x14ac:dyDescent="0.3">
      <c r="A941" s="2">
        <v>45697.125</v>
      </c>
      <c r="B941">
        <f>4497.94318660135*(3/4)</f>
        <v>3373.4573899510151</v>
      </c>
    </row>
    <row r="942" spans="1:2" x14ac:dyDescent="0.3">
      <c r="A942" s="2">
        <v>45697.166666666657</v>
      </c>
      <c r="B942">
        <f>4564.93339600183*(3/4)</f>
        <v>3423.7000470013754</v>
      </c>
    </row>
    <row r="943" spans="1:2" x14ac:dyDescent="0.3">
      <c r="A943" s="2">
        <v>45697.208333333343</v>
      </c>
      <c r="B943">
        <f>4359.66566779862*(3/4)</f>
        <v>3269.7492508489645</v>
      </c>
    </row>
    <row r="944" spans="1:2" x14ac:dyDescent="0.3">
      <c r="A944" s="2">
        <v>45697.25</v>
      </c>
      <c r="B944">
        <f>4190.42686985341*(3/4)</f>
        <v>3142.8201523900539</v>
      </c>
    </row>
    <row r="945" spans="1:2" x14ac:dyDescent="0.3">
      <c r="A945" s="2">
        <v>45697.291666666657</v>
      </c>
      <c r="B945">
        <f>4258.88734860254*(3/4)</f>
        <v>3194.165511451904</v>
      </c>
    </row>
    <row r="946" spans="1:2" x14ac:dyDescent="0.3">
      <c r="A946" s="2">
        <v>45697.333333333343</v>
      </c>
      <c r="B946">
        <f>3430.92124650674*(3/4)</f>
        <v>2573.1909348800573</v>
      </c>
    </row>
    <row r="947" spans="1:2" x14ac:dyDescent="0.3">
      <c r="A947" s="2">
        <v>45697.375</v>
      </c>
      <c r="B947">
        <f>3953.60725878646*(3/4)</f>
        <v>2965.2054440898414</v>
      </c>
    </row>
    <row r="948" spans="1:2" x14ac:dyDescent="0.3">
      <c r="A948" s="2">
        <v>45697.416666666657</v>
      </c>
      <c r="B948">
        <f>3682.62586830668*(3/4)</f>
        <v>2761.9694012300129</v>
      </c>
    </row>
    <row r="949" spans="1:2" x14ac:dyDescent="0.3">
      <c r="A949" s="2">
        <v>45697.458333333343</v>
      </c>
      <c r="B949">
        <f>3432.89854367146*(3/4)</f>
        <v>2574.6739077535926</v>
      </c>
    </row>
    <row r="950" spans="1:2" x14ac:dyDescent="0.3">
      <c r="A950" s="2">
        <v>45697.5</v>
      </c>
      <c r="B950">
        <f>3938.35833284299*(3/4)</f>
        <v>2953.7687496322401</v>
      </c>
    </row>
    <row r="951" spans="1:2" x14ac:dyDescent="0.3">
      <c r="A951" s="2">
        <v>45697.541666666657</v>
      </c>
      <c r="B951">
        <f>3569.74107889889*(3/4)</f>
        <v>2677.30580917417</v>
      </c>
    </row>
    <row r="952" spans="1:2" x14ac:dyDescent="0.3">
      <c r="A952" s="2">
        <v>45697.583333333343</v>
      </c>
      <c r="B952">
        <f>3609.44375886791*(3/4)</f>
        <v>2707.0828191509336</v>
      </c>
    </row>
    <row r="953" spans="1:2" x14ac:dyDescent="0.3">
      <c r="A953" s="2">
        <v>45697.625</v>
      </c>
      <c r="B953">
        <f>3224.34718714668*(3/4)</f>
        <v>2418.2603903600129</v>
      </c>
    </row>
    <row r="954" spans="1:2" x14ac:dyDescent="0.3">
      <c r="A954" s="2">
        <v>45697.666666666657</v>
      </c>
      <c r="B954">
        <f>4032.67934097363*(3/4)</f>
        <v>3024.5095057302187</v>
      </c>
    </row>
    <row r="955" spans="1:2" x14ac:dyDescent="0.3">
      <c r="A955" s="2">
        <v>45697.708333333343</v>
      </c>
      <c r="B955">
        <f>4361.58171432128*(3/4)</f>
        <v>3271.1862857409619</v>
      </c>
    </row>
    <row r="956" spans="1:2" x14ac:dyDescent="0.3">
      <c r="A956" s="2">
        <v>45697.75</v>
      </c>
      <c r="B956">
        <f>4337.28787396547*(3/4)</f>
        <v>3252.9659054741032</v>
      </c>
    </row>
    <row r="957" spans="1:2" x14ac:dyDescent="0.3">
      <c r="A957" s="2">
        <v>45697.791666666657</v>
      </c>
      <c r="B957">
        <f>4673.30309586637*(3/4)</f>
        <v>3504.9773218997771</v>
      </c>
    </row>
    <row r="958" spans="1:2" x14ac:dyDescent="0.3">
      <c r="A958" s="2">
        <v>45697.833333333343</v>
      </c>
      <c r="B958">
        <f>4610.29998742782*(3/4)</f>
        <v>3457.7249905708622</v>
      </c>
    </row>
    <row r="959" spans="1:2" x14ac:dyDescent="0.3">
      <c r="A959" s="2">
        <v>45697.875</v>
      </c>
      <c r="B959">
        <f>4420.71700678733*(3/4)</f>
        <v>3315.5377550904986</v>
      </c>
    </row>
    <row r="960" spans="1:2" x14ac:dyDescent="0.3">
      <c r="A960" s="2">
        <v>45697.916666666657</v>
      </c>
      <c r="B960">
        <f>3905.66903768957*(3/4)</f>
        <v>2929.2517782671744</v>
      </c>
    </row>
    <row r="961" spans="1:2" x14ac:dyDescent="0.3">
      <c r="A961" s="2">
        <v>45697.958333333343</v>
      </c>
      <c r="B961">
        <f>4155.63360081298*(3/4)</f>
        <v>3116.7252006097315</v>
      </c>
    </row>
    <row r="962" spans="1:2" x14ac:dyDescent="0.3">
      <c r="A962" s="2">
        <v>45698</v>
      </c>
      <c r="B962">
        <f>4247.13051235048*(3/4)</f>
        <v>3185.3478842628565</v>
      </c>
    </row>
    <row r="963" spans="1:2" x14ac:dyDescent="0.3">
      <c r="A963" s="2">
        <v>45698.041666666657</v>
      </c>
      <c r="B963">
        <f>4318.39507425772*(3/4)</f>
        <v>3238.7963056932895</v>
      </c>
    </row>
    <row r="964" spans="1:2" x14ac:dyDescent="0.3">
      <c r="A964" s="2">
        <v>45698.083333333343</v>
      </c>
      <c r="B964">
        <f>4166.47651257426*(3/4)</f>
        <v>3124.8573844306929</v>
      </c>
    </row>
    <row r="965" spans="1:2" x14ac:dyDescent="0.3">
      <c r="A965" s="2">
        <v>45698.125</v>
      </c>
      <c r="B965">
        <f>4242.8020878554*(3/4)</f>
        <v>3182.1015658915485</v>
      </c>
    </row>
    <row r="966" spans="1:2" x14ac:dyDescent="0.3">
      <c r="A966" s="2">
        <v>45698.166666666657</v>
      </c>
      <c r="B966">
        <f>4800*(3/4)</f>
        <v>3600</v>
      </c>
    </row>
    <row r="967" spans="1:2" x14ac:dyDescent="0.3">
      <c r="A967" s="2">
        <v>45698.208333333343</v>
      </c>
      <c r="B967">
        <f>4217.59604751211*(3/4)</f>
        <v>3163.1970356340817</v>
      </c>
    </row>
    <row r="968" spans="1:2" x14ac:dyDescent="0.3">
      <c r="A968" s="2">
        <v>45698.25</v>
      </c>
      <c r="B968">
        <f>4269.42344650424*(3/4)</f>
        <v>3202.0675848781802</v>
      </c>
    </row>
    <row r="969" spans="1:2" x14ac:dyDescent="0.3">
      <c r="A969" s="2">
        <v>45698.291666666657</v>
      </c>
      <c r="B969">
        <f>4536.51792475616*(3/4)</f>
        <v>3402.3884435671198</v>
      </c>
    </row>
    <row r="970" spans="1:2" x14ac:dyDescent="0.3">
      <c r="A970" s="2">
        <v>45698.333333333343</v>
      </c>
      <c r="B970">
        <f>4368.6237329547*(3/4)</f>
        <v>3276.4677997160238</v>
      </c>
    </row>
    <row r="971" spans="1:2" x14ac:dyDescent="0.3">
      <c r="A971" s="2">
        <v>45698.375</v>
      </c>
      <c r="B971">
        <f>4276.70689685086*(3/4)</f>
        <v>3207.5301726381472</v>
      </c>
    </row>
    <row r="972" spans="1:2" x14ac:dyDescent="0.3">
      <c r="A972" s="2">
        <v>45698.416666666657</v>
      </c>
      <c r="B972">
        <f>4574.42141544271*(3/4)</f>
        <v>3430.8160615820352</v>
      </c>
    </row>
    <row r="973" spans="1:2" x14ac:dyDescent="0.3">
      <c r="A973" s="2">
        <v>45698.458333333343</v>
      </c>
      <c r="B973">
        <f>4336.95702530902*(3/4)</f>
        <v>3252.7177689817645</v>
      </c>
    </row>
    <row r="974" spans="1:2" x14ac:dyDescent="0.3">
      <c r="A974" s="2">
        <v>45698.5</v>
      </c>
      <c r="B974">
        <f>4403.86698011103*(3/4)</f>
        <v>3302.9002350832711</v>
      </c>
    </row>
    <row r="975" spans="1:2" x14ac:dyDescent="0.3">
      <c r="A975" s="2">
        <v>45698.541666666657</v>
      </c>
      <c r="B975">
        <f>4564.49908845515*(3/4)</f>
        <v>3423.3743163413624</v>
      </c>
    </row>
    <row r="976" spans="1:2" x14ac:dyDescent="0.3">
      <c r="A976" s="2">
        <v>45698.583333333343</v>
      </c>
      <c r="B976">
        <f>4186.41278394902*(3/4)</f>
        <v>3139.8095879617672</v>
      </c>
    </row>
    <row r="977" spans="1:2" x14ac:dyDescent="0.3">
      <c r="A977" s="2">
        <v>45698.625</v>
      </c>
      <c r="B977">
        <f>4516.75722247362*(3/4)</f>
        <v>3387.567916855216</v>
      </c>
    </row>
    <row r="978" spans="1:2" x14ac:dyDescent="0.3">
      <c r="A978" s="2">
        <v>45698.666666666657</v>
      </c>
      <c r="B978">
        <f>4567.86095771399*(3/4)</f>
        <v>3425.8957182854888</v>
      </c>
    </row>
    <row r="979" spans="1:2" x14ac:dyDescent="0.3">
      <c r="A979" s="2">
        <v>45698.708333333343</v>
      </c>
      <c r="B979">
        <f>4257.67901571972*(3/4)</f>
        <v>3193.2592617897894</v>
      </c>
    </row>
    <row r="980" spans="1:2" x14ac:dyDescent="0.3">
      <c r="A980" s="2">
        <v>45698.75</v>
      </c>
      <c r="B980">
        <f>4449.08220556799*(3/4)</f>
        <v>3336.8116541759955</v>
      </c>
    </row>
    <row r="981" spans="1:2" x14ac:dyDescent="0.3">
      <c r="A981" s="2">
        <v>45698.791666666657</v>
      </c>
      <c r="B981">
        <f>4268.50772183286*(3/4)</f>
        <v>3201.380791374645</v>
      </c>
    </row>
    <row r="982" spans="1:2" x14ac:dyDescent="0.3">
      <c r="A982" s="2">
        <v>45698.833333333343</v>
      </c>
      <c r="B982">
        <f>4800*(3/4)</f>
        <v>3600</v>
      </c>
    </row>
    <row r="983" spans="1:2" x14ac:dyDescent="0.3">
      <c r="A983" s="2">
        <v>45698.875</v>
      </c>
      <c r="B983">
        <f>4489.44177976367*(3/4)</f>
        <v>3367.0813348227493</v>
      </c>
    </row>
    <row r="984" spans="1:2" x14ac:dyDescent="0.3">
      <c r="A984" s="2">
        <v>45698.916666666657</v>
      </c>
      <c r="B984">
        <f>4072.71824420876*(3/4)</f>
        <v>3054.5386831565693</v>
      </c>
    </row>
    <row r="985" spans="1:2" x14ac:dyDescent="0.3">
      <c r="A985" s="2">
        <v>45698.958333333343</v>
      </c>
      <c r="B985">
        <f>4124.74338379465*(3/4)</f>
        <v>3093.5575378459889</v>
      </c>
    </row>
    <row r="986" spans="1:2" x14ac:dyDescent="0.3">
      <c r="A986" s="2">
        <v>45699</v>
      </c>
      <c r="B986">
        <f>4633.73451630122*(3/4)</f>
        <v>3475.3008872259179</v>
      </c>
    </row>
    <row r="987" spans="1:2" x14ac:dyDescent="0.3">
      <c r="A987" s="2">
        <v>45699.041666666657</v>
      </c>
      <c r="B987">
        <f>4244.55159553447*(3/4)</f>
        <v>3183.4136966508545</v>
      </c>
    </row>
    <row r="988" spans="1:2" x14ac:dyDescent="0.3">
      <c r="A988" s="2">
        <v>45699.083333333343</v>
      </c>
      <c r="B988">
        <f>4221.89644885091*(3/4)</f>
        <v>3166.4223366381798</v>
      </c>
    </row>
    <row r="989" spans="1:2" x14ac:dyDescent="0.3">
      <c r="A989" s="2">
        <v>45699.125</v>
      </c>
      <c r="B989">
        <f>4485.55561690437*(3/4)</f>
        <v>3364.1667126782795</v>
      </c>
    </row>
    <row r="990" spans="1:2" x14ac:dyDescent="0.3">
      <c r="A990" s="2">
        <v>45699.166666666657</v>
      </c>
      <c r="B990">
        <f>4615.44143111345*(3/4)</f>
        <v>3461.5810733350854</v>
      </c>
    </row>
    <row r="991" spans="1:2" x14ac:dyDescent="0.3">
      <c r="A991" s="2">
        <v>45699.208333333343</v>
      </c>
      <c r="B991">
        <f>4217.80592498617*(3/4)</f>
        <v>3163.3544437396308</v>
      </c>
    </row>
    <row r="992" spans="1:2" x14ac:dyDescent="0.3">
      <c r="A992" s="2">
        <v>45699.25</v>
      </c>
      <c r="B992">
        <f>4000.73518612956*(3/4)</f>
        <v>3000.5513895971717</v>
      </c>
    </row>
    <row r="993" spans="1:2" x14ac:dyDescent="0.3">
      <c r="A993" s="2">
        <v>45699.291666666657</v>
      </c>
      <c r="B993">
        <f>4681.61209247313*(3/4)</f>
        <v>3511.2090693548489</v>
      </c>
    </row>
    <row r="994" spans="1:2" x14ac:dyDescent="0.3">
      <c r="A994" s="2">
        <v>45699.333333333343</v>
      </c>
      <c r="B994">
        <f>4200.55545841426*(3/4)</f>
        <v>3150.4165938106985</v>
      </c>
    </row>
    <row r="995" spans="1:2" x14ac:dyDescent="0.3">
      <c r="A995" s="2">
        <v>45699.375</v>
      </c>
      <c r="B995">
        <f>4451.52156326842*(3/4)</f>
        <v>3338.6411724513187</v>
      </c>
    </row>
    <row r="996" spans="1:2" x14ac:dyDescent="0.3">
      <c r="A996" s="2">
        <v>45699.416666666657</v>
      </c>
      <c r="B996">
        <f>4596.71852110923*(3/4)</f>
        <v>3447.5388908319255</v>
      </c>
    </row>
    <row r="997" spans="1:2" x14ac:dyDescent="0.3">
      <c r="A997" s="2">
        <v>45699.458333333343</v>
      </c>
      <c r="B997">
        <f>4723.88704633927*(3/4)</f>
        <v>3542.9152847544542</v>
      </c>
    </row>
    <row r="998" spans="1:2" x14ac:dyDescent="0.3">
      <c r="A998" s="2">
        <v>45699.5</v>
      </c>
      <c r="B998">
        <f>4551.09835011578*(3/4)</f>
        <v>3413.3237625868378</v>
      </c>
    </row>
    <row r="999" spans="1:2" x14ac:dyDescent="0.3">
      <c r="A999" s="2">
        <v>45699.541666666657</v>
      </c>
      <c r="B999">
        <f>4592.0390424476*(3/4)</f>
        <v>3444.0292818356979</v>
      </c>
    </row>
    <row r="1000" spans="1:2" x14ac:dyDescent="0.3">
      <c r="A1000" s="2">
        <v>45699.583333333343</v>
      </c>
      <c r="B1000">
        <f>4131.21458357665*(3/4)</f>
        <v>3098.4109376824886</v>
      </c>
    </row>
    <row r="1001" spans="1:2" x14ac:dyDescent="0.3">
      <c r="A1001" s="2">
        <v>45699.625</v>
      </c>
      <c r="B1001">
        <f>4360.27501265947*(3/4)</f>
        <v>3270.2062594945992</v>
      </c>
    </row>
    <row r="1002" spans="1:2" x14ac:dyDescent="0.3">
      <c r="A1002" s="2">
        <v>45699.666666666657</v>
      </c>
      <c r="B1002">
        <f>4672.29070001101*(3/4)</f>
        <v>3504.2180250082592</v>
      </c>
    </row>
    <row r="1003" spans="1:2" x14ac:dyDescent="0.3">
      <c r="A1003" s="2">
        <v>45699.708333333343</v>
      </c>
      <c r="B1003">
        <f>4448.87003976799*(3/4)</f>
        <v>3336.6525298259908</v>
      </c>
    </row>
    <row r="1004" spans="1:2" x14ac:dyDescent="0.3">
      <c r="A1004" s="2">
        <v>45699.75</v>
      </c>
      <c r="B1004">
        <f>4386.6836822523*(3/4)</f>
        <v>3290.0127616892269</v>
      </c>
    </row>
    <row r="1005" spans="1:2" x14ac:dyDescent="0.3">
      <c r="A1005" s="2">
        <v>45699.791666666657</v>
      </c>
      <c r="B1005">
        <f>4442.76965129362*(3/4)</f>
        <v>3332.0772384702141</v>
      </c>
    </row>
    <row r="1006" spans="1:2" x14ac:dyDescent="0.3">
      <c r="A1006" s="2">
        <v>45699.833333333343</v>
      </c>
      <c r="B1006">
        <f>4177.23274923793*(3/4)</f>
        <v>3132.9245619284447</v>
      </c>
    </row>
    <row r="1007" spans="1:2" x14ac:dyDescent="0.3">
      <c r="A1007" s="2">
        <v>45699.875</v>
      </c>
      <c r="B1007">
        <f>4511.15350110761*(3/4)</f>
        <v>3383.3651258307104</v>
      </c>
    </row>
    <row r="1008" spans="1:2" x14ac:dyDescent="0.3">
      <c r="A1008" s="2">
        <v>45699.916666666657</v>
      </c>
      <c r="B1008">
        <f>4290.72800107845*(3/4)</f>
        <v>3218.046000808838</v>
      </c>
    </row>
    <row r="1009" spans="1:2" x14ac:dyDescent="0.3">
      <c r="A1009" s="2">
        <v>45699.958333333343</v>
      </c>
      <c r="B1009">
        <f>4133.66973048935*(3/4)</f>
        <v>3100.2522978670104</v>
      </c>
    </row>
    <row r="1010" spans="1:2" x14ac:dyDescent="0.3">
      <c r="A1010" s="2">
        <v>45700</v>
      </c>
      <c r="B1010">
        <f>4175.5670250447*(3/4)</f>
        <v>3131.6752687835215</v>
      </c>
    </row>
    <row r="1011" spans="1:2" x14ac:dyDescent="0.3">
      <c r="A1011" s="2">
        <v>45700.041666666657</v>
      </c>
      <c r="B1011">
        <f>4306.92261848815*(3/4)</f>
        <v>3230.1919638661138</v>
      </c>
    </row>
    <row r="1012" spans="1:2" x14ac:dyDescent="0.3">
      <c r="A1012" s="2">
        <v>45700.083333333343</v>
      </c>
      <c r="B1012">
        <f>4519.4265192101*(3/4)</f>
        <v>3389.5698894075767</v>
      </c>
    </row>
    <row r="1013" spans="1:2" x14ac:dyDescent="0.3">
      <c r="A1013" s="2">
        <v>45700.125</v>
      </c>
      <c r="B1013">
        <f>4106.19324374132*(3/4)</f>
        <v>3079.6449328059934</v>
      </c>
    </row>
    <row r="1014" spans="1:2" x14ac:dyDescent="0.3">
      <c r="A1014" s="2">
        <v>45700.166666666657</v>
      </c>
      <c r="B1014">
        <f>4422.2302549271*(3/4)</f>
        <v>3316.6726911953242</v>
      </c>
    </row>
    <row r="1015" spans="1:2" x14ac:dyDescent="0.3">
      <c r="A1015" s="2">
        <v>45700.208333333343</v>
      </c>
      <c r="B1015">
        <f>4028.29491162761*(3/4)</f>
        <v>3021.2211837207051</v>
      </c>
    </row>
    <row r="1016" spans="1:2" x14ac:dyDescent="0.3">
      <c r="A1016" s="2">
        <v>45700.25</v>
      </c>
      <c r="B1016">
        <f>4272.28945315106*(3/4)</f>
        <v>3204.2170898632944</v>
      </c>
    </row>
    <row r="1017" spans="1:2" x14ac:dyDescent="0.3">
      <c r="A1017" s="2">
        <v>45700.291666666657</v>
      </c>
      <c r="B1017">
        <f>4449.70441809078*(3/4)</f>
        <v>3337.2783135680875</v>
      </c>
    </row>
    <row r="1018" spans="1:2" x14ac:dyDescent="0.3">
      <c r="A1018" s="2">
        <v>45700.333333333343</v>
      </c>
      <c r="B1018">
        <f>4589.10110407153*(3/4)</f>
        <v>3441.8258280536443</v>
      </c>
    </row>
    <row r="1019" spans="1:2" x14ac:dyDescent="0.3">
      <c r="A1019" s="2">
        <v>45700.375</v>
      </c>
      <c r="B1019">
        <f>4214.97253564715*(3/4)</f>
        <v>3161.2294017353652</v>
      </c>
    </row>
    <row r="1020" spans="1:2" x14ac:dyDescent="0.3">
      <c r="A1020" s="2">
        <v>45700.416666666657</v>
      </c>
      <c r="B1020">
        <f>4619.70963570876*(3/4)</f>
        <v>3464.7822267815682</v>
      </c>
    </row>
    <row r="1021" spans="1:2" x14ac:dyDescent="0.3">
      <c r="A1021" s="2">
        <v>45700.458333333343</v>
      </c>
      <c r="B1021">
        <f>4549.82218016465*(3/4)</f>
        <v>3412.3666351234851</v>
      </c>
    </row>
    <row r="1022" spans="1:2" x14ac:dyDescent="0.3">
      <c r="A1022" s="2">
        <v>45700.5</v>
      </c>
      <c r="B1022">
        <f>4711.6369314338*(3/4)</f>
        <v>3533.7276985753497</v>
      </c>
    </row>
    <row r="1023" spans="1:2" x14ac:dyDescent="0.3">
      <c r="A1023" s="2">
        <v>45700.541666666657</v>
      </c>
      <c r="B1023">
        <f>4437.19796105038*(3/4)</f>
        <v>3327.8984707877835</v>
      </c>
    </row>
    <row r="1024" spans="1:2" x14ac:dyDescent="0.3">
      <c r="A1024" s="2">
        <v>45700.583333333343</v>
      </c>
      <c r="B1024">
        <f>4186.42672269086*(3/4)</f>
        <v>3139.8200420181429</v>
      </c>
    </row>
    <row r="1025" spans="1:2" x14ac:dyDescent="0.3">
      <c r="A1025" s="2">
        <v>45700.625</v>
      </c>
      <c r="B1025">
        <f>4477.47056257406*(3/4)</f>
        <v>3358.1029219305456</v>
      </c>
    </row>
    <row r="1026" spans="1:2" x14ac:dyDescent="0.3">
      <c r="A1026" s="2">
        <v>45700.666666666657</v>
      </c>
      <c r="B1026">
        <f>4590.79897618133*(3/4)</f>
        <v>3443.0992321359936</v>
      </c>
    </row>
    <row r="1027" spans="1:2" x14ac:dyDescent="0.3">
      <c r="A1027" s="2">
        <v>45700.708333333343</v>
      </c>
      <c r="B1027">
        <f>4394.77167406453*(3/4)</f>
        <v>3296.0787555483957</v>
      </c>
    </row>
    <row r="1028" spans="1:2" x14ac:dyDescent="0.3">
      <c r="A1028" s="2">
        <v>45700.75</v>
      </c>
      <c r="B1028">
        <f>4397.54577652675*(3/4)</f>
        <v>3298.1593323950619</v>
      </c>
    </row>
    <row r="1029" spans="1:2" x14ac:dyDescent="0.3">
      <c r="A1029" s="2">
        <v>45700.791666666657</v>
      </c>
      <c r="B1029">
        <f>4271.593647054*(3/4)</f>
        <v>3203.6952352905028</v>
      </c>
    </row>
    <row r="1030" spans="1:2" x14ac:dyDescent="0.3">
      <c r="A1030" s="2">
        <v>45700.833333333343</v>
      </c>
      <c r="B1030">
        <f>4359.73951134945*(3/4)</f>
        <v>3269.804633512088</v>
      </c>
    </row>
    <row r="1031" spans="1:2" x14ac:dyDescent="0.3">
      <c r="A1031" s="2">
        <v>45700.875</v>
      </c>
      <c r="B1031">
        <f>4463.15824071017*(3/4)</f>
        <v>3347.3686805326251</v>
      </c>
    </row>
    <row r="1032" spans="1:2" x14ac:dyDescent="0.3">
      <c r="A1032" s="2">
        <v>45700.916666666657</v>
      </c>
      <c r="B1032">
        <f>4122.93371690979*(3/4)</f>
        <v>3092.2002876823444</v>
      </c>
    </row>
    <row r="1033" spans="1:2" x14ac:dyDescent="0.3">
      <c r="A1033" s="2">
        <v>45700.958333333343</v>
      </c>
      <c r="B1033">
        <f>4155.05321034929*(3/4)</f>
        <v>3116.2899077619704</v>
      </c>
    </row>
    <row r="1034" spans="1:2" x14ac:dyDescent="0.3">
      <c r="A1034" s="2">
        <v>45701</v>
      </c>
      <c r="B1034">
        <f>4541.63172831179*(3/4)</f>
        <v>3406.223796233844</v>
      </c>
    </row>
    <row r="1035" spans="1:2" x14ac:dyDescent="0.3">
      <c r="A1035" s="2">
        <v>45701.041666666657</v>
      </c>
      <c r="B1035">
        <f>4452.58391876266*(3/4)</f>
        <v>3339.4379390719982</v>
      </c>
    </row>
    <row r="1036" spans="1:2" x14ac:dyDescent="0.3">
      <c r="A1036" s="2">
        <v>45701.083333333343</v>
      </c>
      <c r="B1036">
        <f>4333.39401616814*(3/4)</f>
        <v>3250.0455121261025</v>
      </c>
    </row>
    <row r="1037" spans="1:2" x14ac:dyDescent="0.3">
      <c r="A1037" s="2">
        <v>45701.125</v>
      </c>
      <c r="B1037">
        <f>4248.14551804849*(3/4)</f>
        <v>3186.109138536367</v>
      </c>
    </row>
    <row r="1038" spans="1:2" x14ac:dyDescent="0.3">
      <c r="A1038" s="2">
        <v>45701.166666666657</v>
      </c>
      <c r="B1038">
        <f>4145.63040659738*(3/4)</f>
        <v>3109.2228049480318</v>
      </c>
    </row>
    <row r="1039" spans="1:2" x14ac:dyDescent="0.3">
      <c r="A1039" s="2">
        <v>45701.208333333343</v>
      </c>
      <c r="B1039">
        <f>4170.50393596568*(3/4)</f>
        <v>3127.8779519742584</v>
      </c>
    </row>
    <row r="1040" spans="1:2" x14ac:dyDescent="0.3">
      <c r="A1040" s="2">
        <v>45701.25</v>
      </c>
      <c r="B1040">
        <f>4307.21472714247*(3/4)</f>
        <v>3230.4110453568555</v>
      </c>
    </row>
    <row r="1041" spans="1:2" x14ac:dyDescent="0.3">
      <c r="A1041" s="2">
        <v>45701.291666666657</v>
      </c>
      <c r="B1041">
        <f>4277.36215185255*(3/4)</f>
        <v>3208.0216138894143</v>
      </c>
    </row>
    <row r="1042" spans="1:2" x14ac:dyDescent="0.3">
      <c r="A1042" s="2">
        <v>45701.333333333343</v>
      </c>
      <c r="B1042">
        <f>4434.07371929558*(3/4)</f>
        <v>3325.5552894716884</v>
      </c>
    </row>
    <row r="1043" spans="1:2" x14ac:dyDescent="0.3">
      <c r="A1043" s="2">
        <v>45701.375</v>
      </c>
      <c r="B1043">
        <f>4444.94175845623*(3/4)</f>
        <v>3333.706318842173</v>
      </c>
    </row>
    <row r="1044" spans="1:2" x14ac:dyDescent="0.3">
      <c r="A1044" s="2">
        <v>45701.416666666657</v>
      </c>
      <c r="B1044">
        <f>4188.94330233983*(3/4)</f>
        <v>3141.7074767548729</v>
      </c>
    </row>
    <row r="1045" spans="1:2" x14ac:dyDescent="0.3">
      <c r="A1045" s="2">
        <v>45701.458333333343</v>
      </c>
      <c r="B1045">
        <f>4426.42958974566*(3/4)</f>
        <v>3319.8221923092478</v>
      </c>
    </row>
    <row r="1046" spans="1:2" x14ac:dyDescent="0.3">
      <c r="A1046" s="2">
        <v>45701.5</v>
      </c>
      <c r="B1046">
        <f>4500.53160283936*(3/4)</f>
        <v>3375.398702129522</v>
      </c>
    </row>
    <row r="1047" spans="1:2" x14ac:dyDescent="0.3">
      <c r="A1047" s="2">
        <v>45701.541666666657</v>
      </c>
      <c r="B1047">
        <f>4452.52193668649*(3/4)</f>
        <v>3339.3914525148671</v>
      </c>
    </row>
    <row r="1048" spans="1:2" x14ac:dyDescent="0.3">
      <c r="A1048" s="2">
        <v>45701.583333333343</v>
      </c>
      <c r="B1048">
        <f>4193.93504004167*(3/4)</f>
        <v>3145.4512800312532</v>
      </c>
    </row>
    <row r="1049" spans="1:2" x14ac:dyDescent="0.3">
      <c r="A1049" s="2">
        <v>45701.625</v>
      </c>
      <c r="B1049">
        <f>4611.48604676773*(3/4)</f>
        <v>3458.6145350757961</v>
      </c>
    </row>
    <row r="1050" spans="1:2" x14ac:dyDescent="0.3">
      <c r="A1050" s="2">
        <v>45701.666666666657</v>
      </c>
      <c r="B1050">
        <f>4514.91127873235*(3/4)</f>
        <v>3386.1834590492626</v>
      </c>
    </row>
    <row r="1051" spans="1:2" x14ac:dyDescent="0.3">
      <c r="A1051" s="2">
        <v>45701.708333333343</v>
      </c>
      <c r="B1051">
        <f>4310.63043404131*(3/4)</f>
        <v>3232.9728255309801</v>
      </c>
    </row>
    <row r="1052" spans="1:2" x14ac:dyDescent="0.3">
      <c r="A1052" s="2">
        <v>45701.75</v>
      </c>
      <c r="B1052">
        <f>4217.24755660694*(3/4)</f>
        <v>3162.9356674552046</v>
      </c>
    </row>
    <row r="1053" spans="1:2" x14ac:dyDescent="0.3">
      <c r="A1053" s="2">
        <v>45701.791666666657</v>
      </c>
      <c r="B1053">
        <f>4361.87384502927*(3/4)</f>
        <v>3271.4053837719507</v>
      </c>
    </row>
    <row r="1054" spans="1:2" x14ac:dyDescent="0.3">
      <c r="A1054" s="2">
        <v>45701.833333333343</v>
      </c>
      <c r="B1054">
        <f>4596.47435317978*(3/4)</f>
        <v>3447.3557648848382</v>
      </c>
    </row>
    <row r="1055" spans="1:2" x14ac:dyDescent="0.3">
      <c r="A1055" s="2">
        <v>45701.875</v>
      </c>
      <c r="B1055">
        <f>4190.48668913433*(3/4)</f>
        <v>3142.8650168507461</v>
      </c>
    </row>
    <row r="1056" spans="1:2" x14ac:dyDescent="0.3">
      <c r="A1056" s="2">
        <v>45701.916666666657</v>
      </c>
      <c r="B1056">
        <f>4043.81663154277*(3/4)</f>
        <v>3032.8624736570737</v>
      </c>
    </row>
    <row r="1057" spans="1:2" x14ac:dyDescent="0.3">
      <c r="A1057" s="2">
        <v>45701.958333333343</v>
      </c>
      <c r="B1057">
        <f>4521.20881633139*(3/4)</f>
        <v>3390.906612248546</v>
      </c>
    </row>
    <row r="1058" spans="1:2" x14ac:dyDescent="0.3">
      <c r="A1058" s="2">
        <v>45702</v>
      </c>
      <c r="B1058">
        <f>4336.28141726252*(3/4)</f>
        <v>3252.211062946893</v>
      </c>
    </row>
    <row r="1059" spans="1:2" x14ac:dyDescent="0.3">
      <c r="A1059" s="2">
        <v>45702.041666666657</v>
      </c>
      <c r="B1059">
        <f>4178.69395089714*(3/4)</f>
        <v>3134.020463172857</v>
      </c>
    </row>
    <row r="1060" spans="1:2" x14ac:dyDescent="0.3">
      <c r="A1060" s="2">
        <v>45702.083333333343</v>
      </c>
      <c r="B1060">
        <f>4192.6218871006*(3/4)</f>
        <v>3144.4664153254498</v>
      </c>
    </row>
    <row r="1061" spans="1:2" x14ac:dyDescent="0.3">
      <c r="A1061" s="2">
        <v>45702.125</v>
      </c>
      <c r="B1061">
        <f>4271.4200280996*(3/4)</f>
        <v>3203.5650210746981</v>
      </c>
    </row>
    <row r="1062" spans="1:2" x14ac:dyDescent="0.3">
      <c r="A1062" s="2">
        <v>45702.166666666657</v>
      </c>
      <c r="B1062">
        <f>4500.36306264294*(3/4)</f>
        <v>3375.2722969822044</v>
      </c>
    </row>
    <row r="1063" spans="1:2" x14ac:dyDescent="0.3">
      <c r="A1063" s="2">
        <v>45702.208333333343</v>
      </c>
      <c r="B1063">
        <f>4160.85052302395*(3/4)</f>
        <v>3120.637892267961</v>
      </c>
    </row>
    <row r="1064" spans="1:2" x14ac:dyDescent="0.3">
      <c r="A1064" s="2">
        <v>45702.25</v>
      </c>
      <c r="B1064">
        <f>4279.92728837995*(3/4)</f>
        <v>3209.9454662849612</v>
      </c>
    </row>
    <row r="1065" spans="1:2" x14ac:dyDescent="0.3">
      <c r="A1065" s="2">
        <v>45702.291666666657</v>
      </c>
      <c r="B1065">
        <f>4649.39671073816*(3/4)</f>
        <v>3487.0475330536174</v>
      </c>
    </row>
    <row r="1066" spans="1:2" x14ac:dyDescent="0.3">
      <c r="A1066" s="2">
        <v>45702.333333333343</v>
      </c>
      <c r="B1066">
        <f>4371.00792069903*(3/4)</f>
        <v>3278.2559405242741</v>
      </c>
    </row>
    <row r="1067" spans="1:2" x14ac:dyDescent="0.3">
      <c r="A1067" s="2">
        <v>45702.375</v>
      </c>
      <c r="B1067">
        <f>4529.62696327251*(3/4)</f>
        <v>3397.2202224543853</v>
      </c>
    </row>
    <row r="1068" spans="1:2" x14ac:dyDescent="0.3">
      <c r="A1068" s="2">
        <v>45702.416666666657</v>
      </c>
      <c r="B1068">
        <f>4254.04483524017*(3/4)</f>
        <v>3190.5336264301241</v>
      </c>
    </row>
    <row r="1069" spans="1:2" x14ac:dyDescent="0.3">
      <c r="A1069" s="2">
        <v>45702.458333333343</v>
      </c>
      <c r="B1069">
        <f>4797.75058574122*(3/4)</f>
        <v>3598.3129393059153</v>
      </c>
    </row>
    <row r="1070" spans="1:2" x14ac:dyDescent="0.3">
      <c r="A1070" s="2">
        <v>45702.5</v>
      </c>
      <c r="B1070">
        <f>4494.2654473943*(3/4)</f>
        <v>3370.6990855457216</v>
      </c>
    </row>
    <row r="1071" spans="1:2" x14ac:dyDescent="0.3">
      <c r="A1071" s="2">
        <v>45702.541666666657</v>
      </c>
      <c r="B1071">
        <f>4229.77234658804*(3/4)</f>
        <v>3172.3292599410297</v>
      </c>
    </row>
    <row r="1072" spans="1:2" x14ac:dyDescent="0.3">
      <c r="A1072" s="2">
        <v>45702.583333333343</v>
      </c>
      <c r="B1072">
        <f>3988.70062591689*(3/4)</f>
        <v>2991.5254694376654</v>
      </c>
    </row>
    <row r="1073" spans="1:2" x14ac:dyDescent="0.3">
      <c r="A1073" s="2">
        <v>45702.625</v>
      </c>
      <c r="B1073">
        <f>4260.67885271366*(3/4)</f>
        <v>3195.5091395352438</v>
      </c>
    </row>
    <row r="1074" spans="1:2" x14ac:dyDescent="0.3">
      <c r="A1074" s="2">
        <v>45702.666666666657</v>
      </c>
      <c r="B1074">
        <f>4606.39186959509*(3/4)</f>
        <v>3454.7939021963193</v>
      </c>
    </row>
    <row r="1075" spans="1:2" x14ac:dyDescent="0.3">
      <c r="A1075" s="2">
        <v>45702.708333333343</v>
      </c>
      <c r="B1075">
        <f>4450.86255717199*(3/4)</f>
        <v>3338.1469178789957</v>
      </c>
    </row>
    <row r="1076" spans="1:2" x14ac:dyDescent="0.3">
      <c r="A1076" s="2">
        <v>45702.75</v>
      </c>
      <c r="B1076">
        <f>4207.174200626*(3/4)</f>
        <v>3155.3806504695031</v>
      </c>
    </row>
    <row r="1077" spans="1:2" x14ac:dyDescent="0.3">
      <c r="A1077" s="2">
        <v>45702.791666666657</v>
      </c>
      <c r="B1077">
        <f>4094.25506757157*(3/4)</f>
        <v>3070.6913006786781</v>
      </c>
    </row>
    <row r="1078" spans="1:2" x14ac:dyDescent="0.3">
      <c r="A1078" s="2">
        <v>45702.833333333343</v>
      </c>
      <c r="B1078">
        <f>4465.1155590311*(3/4)</f>
        <v>3348.8366692733284</v>
      </c>
    </row>
    <row r="1079" spans="1:2" x14ac:dyDescent="0.3">
      <c r="A1079" s="2">
        <v>45702.875</v>
      </c>
      <c r="B1079">
        <f>4582.79796474361*(3/4)</f>
        <v>3437.0984735577049</v>
      </c>
    </row>
    <row r="1080" spans="1:2" x14ac:dyDescent="0.3">
      <c r="A1080" s="2">
        <v>45702.916666666657</v>
      </c>
      <c r="B1080">
        <f>4317.34340895865*(3/4)</f>
        <v>3238.0075567189847</v>
      </c>
    </row>
    <row r="1081" spans="1:2" x14ac:dyDescent="0.3">
      <c r="A1081" s="2">
        <v>45702.958333333343</v>
      </c>
      <c r="B1081">
        <f>4212.92320813266*(3/4)</f>
        <v>3159.6924060994952</v>
      </c>
    </row>
    <row r="1082" spans="1:2" x14ac:dyDescent="0.3">
      <c r="A1082" s="2">
        <v>45703</v>
      </c>
      <c r="B1082">
        <f>4800*(3/4)</f>
        <v>3600</v>
      </c>
    </row>
    <row r="1083" spans="1:2" x14ac:dyDescent="0.3">
      <c r="A1083" s="2">
        <v>45703.041666666657</v>
      </c>
      <c r="B1083">
        <f>4238.66993723115*(3/4)</f>
        <v>3179.0024529233624</v>
      </c>
    </row>
    <row r="1084" spans="1:2" x14ac:dyDescent="0.3">
      <c r="A1084" s="2">
        <v>45703.083333333343</v>
      </c>
      <c r="B1084">
        <f>4526.49560540586*(3/4)</f>
        <v>3394.8717040543966</v>
      </c>
    </row>
    <row r="1085" spans="1:2" x14ac:dyDescent="0.3">
      <c r="A1085" s="2">
        <v>45703.125</v>
      </c>
      <c r="B1085">
        <f>4526.93054921757*(3/4)</f>
        <v>3395.1979119131738</v>
      </c>
    </row>
    <row r="1086" spans="1:2" x14ac:dyDescent="0.3">
      <c r="A1086" s="2">
        <v>45703.166666666657</v>
      </c>
      <c r="B1086">
        <f>3741.65805484692*(3/4)</f>
        <v>2806.2435411351885</v>
      </c>
    </row>
    <row r="1087" spans="1:2" x14ac:dyDescent="0.3">
      <c r="A1087" s="2">
        <v>45703.208333333343</v>
      </c>
      <c r="B1087">
        <f>4531.46353691701*(3/4)</f>
        <v>3398.5976526877548</v>
      </c>
    </row>
    <row r="1088" spans="1:2" x14ac:dyDescent="0.3">
      <c r="A1088" s="2">
        <v>45703.25</v>
      </c>
      <c r="B1088">
        <f>3987.28765470729*(3/4)</f>
        <v>2990.4657410304671</v>
      </c>
    </row>
    <row r="1089" spans="1:2" x14ac:dyDescent="0.3">
      <c r="A1089" s="2">
        <v>45703.291666666657</v>
      </c>
      <c r="B1089">
        <f>4204.02746098961*(3/4)</f>
        <v>3153.0205957422086</v>
      </c>
    </row>
    <row r="1090" spans="1:2" x14ac:dyDescent="0.3">
      <c r="A1090" s="2">
        <v>45703.333333333343</v>
      </c>
      <c r="B1090">
        <f>4320.05646414592*(3/4)</f>
        <v>3240.0423481094363</v>
      </c>
    </row>
    <row r="1091" spans="1:2" x14ac:dyDescent="0.3">
      <c r="A1091" s="2">
        <v>45703.375</v>
      </c>
      <c r="B1091">
        <f>4685.12015937922*(3/4)</f>
        <v>3513.8401195344145</v>
      </c>
    </row>
    <row r="1092" spans="1:2" x14ac:dyDescent="0.3">
      <c r="A1092" s="2">
        <v>45703.416666666657</v>
      </c>
      <c r="B1092">
        <f>4375.27478649476*(3/4)</f>
        <v>3281.4560898710715</v>
      </c>
    </row>
    <row r="1093" spans="1:2" x14ac:dyDescent="0.3">
      <c r="A1093" s="2">
        <v>45703.458333333343</v>
      </c>
      <c r="B1093">
        <f>4407.4087736532*(3/4)</f>
        <v>3305.5565802399033</v>
      </c>
    </row>
    <row r="1094" spans="1:2" x14ac:dyDescent="0.3">
      <c r="A1094" s="2">
        <v>45703.5</v>
      </c>
      <c r="B1094">
        <f>4280.64477600774*(3/4)</f>
        <v>3210.4835820058042</v>
      </c>
    </row>
    <row r="1095" spans="1:2" x14ac:dyDescent="0.3">
      <c r="A1095" s="2">
        <v>45703.541666666657</v>
      </c>
      <c r="B1095">
        <f>4616.41586864477*(3/4)</f>
        <v>3462.3119014835761</v>
      </c>
    </row>
    <row r="1096" spans="1:2" x14ac:dyDescent="0.3">
      <c r="A1096" s="2">
        <v>45703.583333333343</v>
      </c>
      <c r="B1096">
        <f>4129.69219161101*(3/4)</f>
        <v>3097.2691437082567</v>
      </c>
    </row>
    <row r="1097" spans="1:2" x14ac:dyDescent="0.3">
      <c r="A1097" s="2">
        <v>45703.625</v>
      </c>
      <c r="B1097">
        <f>4234.5034303509*(3/4)</f>
        <v>3175.8775727631746</v>
      </c>
    </row>
    <row r="1098" spans="1:2" x14ac:dyDescent="0.3">
      <c r="A1098" s="2">
        <v>45703.666666666657</v>
      </c>
      <c r="B1098">
        <f>3982.9107491632*(3/4)</f>
        <v>2987.183061872403</v>
      </c>
    </row>
    <row r="1099" spans="1:2" x14ac:dyDescent="0.3">
      <c r="A1099" s="2">
        <v>45703.708333333343</v>
      </c>
      <c r="B1099">
        <f>4329.8897897584*(3/4)</f>
        <v>3247.4173423188031</v>
      </c>
    </row>
    <row r="1100" spans="1:2" x14ac:dyDescent="0.3">
      <c r="A1100" s="2">
        <v>45703.75</v>
      </c>
      <c r="B1100">
        <f>4242.16842827721*(3/4)</f>
        <v>3181.6263212079075</v>
      </c>
    </row>
    <row r="1101" spans="1:2" x14ac:dyDescent="0.3">
      <c r="A1101" s="2">
        <v>45703.791666666657</v>
      </c>
      <c r="B1101">
        <f>4164.51096792282*(3/4)</f>
        <v>3123.3832259421133</v>
      </c>
    </row>
    <row r="1102" spans="1:2" x14ac:dyDescent="0.3">
      <c r="A1102" s="2">
        <v>45703.833333333343</v>
      </c>
      <c r="B1102">
        <f>4800*(3/4)</f>
        <v>3600</v>
      </c>
    </row>
    <row r="1103" spans="1:2" x14ac:dyDescent="0.3">
      <c r="A1103" s="2">
        <v>45703.875</v>
      </c>
      <c r="B1103">
        <f>4682.99456448513*(3/4)</f>
        <v>3512.2459233638483</v>
      </c>
    </row>
    <row r="1104" spans="1:2" x14ac:dyDescent="0.3">
      <c r="A1104" s="2">
        <v>45703.916666666657</v>
      </c>
      <c r="B1104">
        <f>4362.50109374264*(3/4)</f>
        <v>3271.8758203069769</v>
      </c>
    </row>
    <row r="1105" spans="1:2" x14ac:dyDescent="0.3">
      <c r="A1105" s="2">
        <v>45703.958333333343</v>
      </c>
      <c r="B1105">
        <f>4259.24894090826*(3/4)</f>
        <v>3194.4367056811961</v>
      </c>
    </row>
    <row r="1106" spans="1:2" x14ac:dyDescent="0.3">
      <c r="A1106" s="2">
        <v>45704</v>
      </c>
      <c r="B1106">
        <f>4395.50772904114*(3/4)</f>
        <v>3296.6307967808543</v>
      </c>
    </row>
    <row r="1107" spans="1:2" x14ac:dyDescent="0.3">
      <c r="A1107" s="2">
        <v>45704.041666666657</v>
      </c>
      <c r="B1107">
        <f>4189.85000917722*(3/4)</f>
        <v>3142.3875068829179</v>
      </c>
    </row>
    <row r="1108" spans="1:2" x14ac:dyDescent="0.3">
      <c r="A1108" s="2">
        <v>45704.083333333343</v>
      </c>
      <c r="B1108">
        <f>4367.73963983624*(3/4)</f>
        <v>3275.8047298771785</v>
      </c>
    </row>
    <row r="1109" spans="1:2" x14ac:dyDescent="0.3">
      <c r="A1109" s="2">
        <v>45704.125</v>
      </c>
      <c r="B1109">
        <f>4351.80227599222*(3/4)</f>
        <v>3263.8517069941663</v>
      </c>
    </row>
    <row r="1110" spans="1:2" x14ac:dyDescent="0.3">
      <c r="A1110" s="2">
        <v>45704.166666666657</v>
      </c>
      <c r="B1110">
        <f>4265.44700516161*(3/4)</f>
        <v>3199.0852538712043</v>
      </c>
    </row>
    <row r="1111" spans="1:2" x14ac:dyDescent="0.3">
      <c r="A1111" s="2">
        <v>45704.208333333343</v>
      </c>
      <c r="B1111">
        <f>4383.02769616043*(3/4)</f>
        <v>3287.2707721203242</v>
      </c>
    </row>
    <row r="1112" spans="1:2" x14ac:dyDescent="0.3">
      <c r="A1112" s="2">
        <v>45704.25</v>
      </c>
      <c r="B1112">
        <f>4196.29329906782*(3/4)</f>
        <v>3147.2199743008669</v>
      </c>
    </row>
    <row r="1113" spans="1:2" x14ac:dyDescent="0.3">
      <c r="A1113" s="2">
        <v>45704.291666666657</v>
      </c>
      <c r="B1113">
        <f>4800*(3/4)</f>
        <v>3600</v>
      </c>
    </row>
    <row r="1114" spans="1:2" x14ac:dyDescent="0.3">
      <c r="A1114" s="2">
        <v>45704.333333333343</v>
      </c>
      <c r="B1114">
        <f>3825.07012173236*(3/4)</f>
        <v>2868.8025912992684</v>
      </c>
    </row>
    <row r="1115" spans="1:2" x14ac:dyDescent="0.3">
      <c r="A1115" s="2">
        <v>45704.375</v>
      </c>
      <c r="B1115">
        <f>3715.17633739665*(3/4)</f>
        <v>2786.3822530474868</v>
      </c>
    </row>
    <row r="1116" spans="1:2" x14ac:dyDescent="0.3">
      <c r="A1116" s="2">
        <v>45704.416666666657</v>
      </c>
      <c r="B1116">
        <f>3590.94070594461*(3/4)</f>
        <v>2693.2055294584566</v>
      </c>
    </row>
    <row r="1117" spans="1:2" x14ac:dyDescent="0.3">
      <c r="A1117" s="2">
        <v>45704.458333333343</v>
      </c>
      <c r="B1117">
        <f>3595.1838123485*(3/4)</f>
        <v>2696.3878592613783</v>
      </c>
    </row>
    <row r="1118" spans="1:2" x14ac:dyDescent="0.3">
      <c r="A1118" s="2">
        <v>45704.5</v>
      </c>
      <c r="B1118">
        <f>3648.07422201789*(3/4)</f>
        <v>2736.0556665134145</v>
      </c>
    </row>
    <row r="1119" spans="1:2" x14ac:dyDescent="0.3">
      <c r="A1119" s="2">
        <v>45704.541666666657</v>
      </c>
      <c r="B1119">
        <f>3629.16747627931*(3/4)</f>
        <v>2721.8756072094839</v>
      </c>
    </row>
    <row r="1120" spans="1:2" x14ac:dyDescent="0.3">
      <c r="A1120" s="2">
        <v>45704.583333333343</v>
      </c>
      <c r="B1120">
        <f>3577.59815251469*(3/4)</f>
        <v>2683.1986143860204</v>
      </c>
    </row>
    <row r="1121" spans="1:2" x14ac:dyDescent="0.3">
      <c r="A1121" s="2">
        <v>45704.625</v>
      </c>
      <c r="B1121">
        <f>3811.20205132267*(3/4)</f>
        <v>2858.4015384920003</v>
      </c>
    </row>
    <row r="1122" spans="1:2" x14ac:dyDescent="0.3">
      <c r="A1122" s="2">
        <v>45704.666666666657</v>
      </c>
      <c r="B1122">
        <f>3848.4318617888*(3/4)</f>
        <v>2886.3238963416006</v>
      </c>
    </row>
    <row r="1123" spans="1:2" x14ac:dyDescent="0.3">
      <c r="A1123" s="2">
        <v>45704.708333333343</v>
      </c>
      <c r="B1123">
        <f>4445.97552172939*(3/4)</f>
        <v>3334.4816412970404</v>
      </c>
    </row>
    <row r="1124" spans="1:2" x14ac:dyDescent="0.3">
      <c r="A1124" s="2">
        <v>45704.75</v>
      </c>
      <c r="B1124">
        <f>4372.10922017502*(3/4)</f>
        <v>3279.0819151312649</v>
      </c>
    </row>
    <row r="1125" spans="1:2" x14ac:dyDescent="0.3">
      <c r="A1125" s="2">
        <v>45704.791666666657</v>
      </c>
      <c r="B1125">
        <f>4539.0581392468*(3/4)</f>
        <v>3404.2936044351</v>
      </c>
    </row>
    <row r="1126" spans="1:2" x14ac:dyDescent="0.3">
      <c r="A1126" s="2">
        <v>45704.833333333343</v>
      </c>
      <c r="B1126">
        <f>4774.01830255932*(3/4)</f>
        <v>3580.5137269194902</v>
      </c>
    </row>
    <row r="1127" spans="1:2" x14ac:dyDescent="0.3">
      <c r="A1127" s="2">
        <v>45704.875</v>
      </c>
      <c r="B1127">
        <f>4265.31108961679*(3/4)</f>
        <v>3198.9833172125936</v>
      </c>
    </row>
    <row r="1128" spans="1:2" x14ac:dyDescent="0.3">
      <c r="A1128" s="2">
        <v>45704.916666666657</v>
      </c>
      <c r="B1128">
        <f>4204.22702992851*(3/4)</f>
        <v>3153.1702724463798</v>
      </c>
    </row>
    <row r="1129" spans="1:2" x14ac:dyDescent="0.3">
      <c r="A1129" s="2">
        <v>45704.958333333343</v>
      </c>
      <c r="B1129">
        <f>4152.00005800809*(3/4)</f>
        <v>3114.0000435060638</v>
      </c>
    </row>
    <row r="1130" spans="1:2" x14ac:dyDescent="0.3">
      <c r="A1130" s="2">
        <v>45705</v>
      </c>
      <c r="B1130">
        <f>4471.64902747375*(3/4)</f>
        <v>3353.736770605311</v>
      </c>
    </row>
    <row r="1131" spans="1:2" x14ac:dyDescent="0.3">
      <c r="A1131" s="2">
        <v>45705.041666666657</v>
      </c>
      <c r="B1131">
        <f>4217.48703067721*(3/4)</f>
        <v>3163.1152730079039</v>
      </c>
    </row>
    <row r="1132" spans="1:2" x14ac:dyDescent="0.3">
      <c r="A1132" s="2">
        <v>45705.083333333343</v>
      </c>
      <c r="B1132">
        <f>4094.2093149103*(3/4)</f>
        <v>3070.6569861827275</v>
      </c>
    </row>
    <row r="1133" spans="1:2" x14ac:dyDescent="0.3">
      <c r="A1133" s="2">
        <v>45705.125</v>
      </c>
      <c r="B1133">
        <f>4338.2068082727*(3/4)</f>
        <v>3253.6551062045282</v>
      </c>
    </row>
    <row r="1134" spans="1:2" x14ac:dyDescent="0.3">
      <c r="A1134" s="2">
        <v>45705.166666666657</v>
      </c>
      <c r="B1134">
        <f>4208.88761725246*(3/4)</f>
        <v>3156.6657129393443</v>
      </c>
    </row>
    <row r="1135" spans="1:2" x14ac:dyDescent="0.3">
      <c r="A1135" s="2">
        <v>45705.208333333343</v>
      </c>
      <c r="B1135">
        <f>4176.95447995342*(3/4)</f>
        <v>3132.7158599650611</v>
      </c>
    </row>
    <row r="1136" spans="1:2" x14ac:dyDescent="0.3">
      <c r="A1136" s="2">
        <v>45705.25</v>
      </c>
      <c r="B1136">
        <f>4039.39645453401*(3/4)</f>
        <v>3029.5473409005053</v>
      </c>
    </row>
    <row r="1137" spans="1:2" x14ac:dyDescent="0.3">
      <c r="A1137" s="2">
        <v>45705.291666666657</v>
      </c>
      <c r="B1137">
        <f>4475.51324549702*(3/4)</f>
        <v>3356.6349341227683</v>
      </c>
    </row>
    <row r="1138" spans="1:2" x14ac:dyDescent="0.3">
      <c r="A1138" s="2">
        <v>45705.333333333343</v>
      </c>
      <c r="B1138">
        <f>4240.64498132036*(3/4)</f>
        <v>3180.4837359902704</v>
      </c>
    </row>
    <row r="1139" spans="1:2" x14ac:dyDescent="0.3">
      <c r="A1139" s="2">
        <v>45705.375</v>
      </c>
      <c r="B1139">
        <f>4257.34653163784*(3/4)</f>
        <v>3193.0098987283791</v>
      </c>
    </row>
    <row r="1140" spans="1:2" x14ac:dyDescent="0.3">
      <c r="A1140" s="2">
        <v>45705.416666666657</v>
      </c>
      <c r="B1140">
        <f>4484.62751367178*(3/4)</f>
        <v>3363.4706352538333</v>
      </c>
    </row>
    <row r="1141" spans="1:2" x14ac:dyDescent="0.3">
      <c r="A1141" s="2">
        <v>45705.458333333343</v>
      </c>
      <c r="B1141">
        <f>4629.58359598369*(3/4)</f>
        <v>3472.1876969877644</v>
      </c>
    </row>
    <row r="1142" spans="1:2" x14ac:dyDescent="0.3">
      <c r="A1142" s="2">
        <v>45705.5</v>
      </c>
      <c r="B1142">
        <f>4134.15457771493*(3/4)</f>
        <v>3100.6159332861944</v>
      </c>
    </row>
    <row r="1143" spans="1:2" x14ac:dyDescent="0.3">
      <c r="A1143" s="2">
        <v>45705.541666666657</v>
      </c>
      <c r="B1143">
        <f>4509.04474034414*(3/4)</f>
        <v>3381.7835552581032</v>
      </c>
    </row>
    <row r="1144" spans="1:2" x14ac:dyDescent="0.3">
      <c r="A1144" s="2">
        <v>45705.583333333343</v>
      </c>
      <c r="B1144">
        <f>3990.38294011763*(3/4)</f>
        <v>2992.7872050882233</v>
      </c>
    </row>
    <row r="1145" spans="1:2" x14ac:dyDescent="0.3">
      <c r="A1145" s="2">
        <v>45705.625</v>
      </c>
      <c r="B1145">
        <f>4692.42599588647*(3/4)</f>
        <v>3519.3194969148499</v>
      </c>
    </row>
    <row r="1146" spans="1:2" x14ac:dyDescent="0.3">
      <c r="A1146" s="2">
        <v>45705.666666666657</v>
      </c>
      <c r="B1146">
        <f>4800*(3/4)</f>
        <v>3600</v>
      </c>
    </row>
    <row r="1147" spans="1:2" x14ac:dyDescent="0.3">
      <c r="A1147" s="2">
        <v>45705.708333333343</v>
      </c>
      <c r="B1147">
        <f>4239.54801370838*(3/4)</f>
        <v>3179.6610102812811</v>
      </c>
    </row>
    <row r="1148" spans="1:2" x14ac:dyDescent="0.3">
      <c r="A1148" s="2">
        <v>45705.75</v>
      </c>
      <c r="B1148">
        <f>4536.80450366901*(3/4)</f>
        <v>3402.6033777517596</v>
      </c>
    </row>
    <row r="1149" spans="1:2" x14ac:dyDescent="0.3">
      <c r="A1149" s="2">
        <v>45705.791666666657</v>
      </c>
      <c r="B1149">
        <f>4460.35379097359*(3/4)</f>
        <v>3345.2653432301922</v>
      </c>
    </row>
    <row r="1150" spans="1:2" x14ac:dyDescent="0.3">
      <c r="A1150" s="2">
        <v>45705.833333333343</v>
      </c>
      <c r="B1150">
        <f>4464.42517589813*(3/4)</f>
        <v>3348.3188819235938</v>
      </c>
    </row>
    <row r="1151" spans="1:2" x14ac:dyDescent="0.3">
      <c r="A1151" s="2">
        <v>45705.875</v>
      </c>
      <c r="B1151">
        <f>4596.9496720545*(3/4)</f>
        <v>3447.7122540408755</v>
      </c>
    </row>
    <row r="1152" spans="1:2" x14ac:dyDescent="0.3">
      <c r="A1152" s="2">
        <v>45705.916666666657</v>
      </c>
      <c r="B1152">
        <f>4315.80782629873*(3/4)</f>
        <v>3236.8558697240442</v>
      </c>
    </row>
    <row r="1153" spans="1:2" x14ac:dyDescent="0.3">
      <c r="A1153" s="2">
        <v>45705.958333333343</v>
      </c>
      <c r="B1153">
        <f>4210.69189181639*(3/4)</f>
        <v>3158.0189188622944</v>
      </c>
    </row>
    <row r="1154" spans="1:2" x14ac:dyDescent="0.3">
      <c r="A1154" s="2">
        <v>45706</v>
      </c>
      <c r="B1154">
        <f>4437.15988297718*(3/4)</f>
        <v>3327.8699122328835</v>
      </c>
    </row>
    <row r="1155" spans="1:2" x14ac:dyDescent="0.3">
      <c r="A1155" s="2">
        <v>45706.041666666657</v>
      </c>
      <c r="B1155">
        <f>4414.89808818967*(3/4)</f>
        <v>3311.1735661422554</v>
      </c>
    </row>
    <row r="1156" spans="1:2" x14ac:dyDescent="0.3">
      <c r="A1156" s="2">
        <v>45706.083333333343</v>
      </c>
      <c r="B1156">
        <f>4551.34039674232*(3/4)</f>
        <v>3413.5052975567414</v>
      </c>
    </row>
    <row r="1157" spans="1:2" x14ac:dyDescent="0.3">
      <c r="A1157" s="2">
        <v>45706.125</v>
      </c>
      <c r="B1157">
        <f>4221.0390126453*(3/4)</f>
        <v>3165.7792594839725</v>
      </c>
    </row>
    <row r="1158" spans="1:2" x14ac:dyDescent="0.3">
      <c r="A1158" s="2">
        <v>45706.166666666657</v>
      </c>
      <c r="B1158">
        <f>4498.26953493152*(3/4)</f>
        <v>3373.7021511986404</v>
      </c>
    </row>
    <row r="1159" spans="1:2" x14ac:dyDescent="0.3">
      <c r="A1159" s="2">
        <v>45706.208333333343</v>
      </c>
      <c r="B1159">
        <f>4292.41733303247*(3/4)</f>
        <v>3219.3129997743499</v>
      </c>
    </row>
    <row r="1160" spans="1:2" x14ac:dyDescent="0.3">
      <c r="A1160" s="2">
        <v>45706.25</v>
      </c>
      <c r="B1160">
        <f>4276.55185504218*(3/4)</f>
        <v>3207.4138912816325</v>
      </c>
    </row>
    <row r="1161" spans="1:2" x14ac:dyDescent="0.3">
      <c r="A1161" s="2">
        <v>45706.291666666657</v>
      </c>
      <c r="B1161">
        <f>4418.61782717367*(3/4)</f>
        <v>3313.9633703802556</v>
      </c>
    </row>
    <row r="1162" spans="1:2" x14ac:dyDescent="0.3">
      <c r="A1162" s="2">
        <v>45706.333333333343</v>
      </c>
      <c r="B1162">
        <f>4770.85906946438*(3/4)</f>
        <v>3578.1443020982883</v>
      </c>
    </row>
    <row r="1163" spans="1:2" x14ac:dyDescent="0.3">
      <c r="A1163" s="2">
        <v>45706.375</v>
      </c>
      <c r="B1163">
        <f>4743.82664985067*(3/4)</f>
        <v>3557.8699873880041</v>
      </c>
    </row>
    <row r="1164" spans="1:2" x14ac:dyDescent="0.3">
      <c r="A1164" s="2">
        <v>45706.416666666657</v>
      </c>
      <c r="B1164">
        <f>4711.75184332922*(3/4)</f>
        <v>3533.8138824969146</v>
      </c>
    </row>
    <row r="1165" spans="1:2" x14ac:dyDescent="0.3">
      <c r="A1165" s="2">
        <v>45706.458333333343</v>
      </c>
      <c r="B1165">
        <f>4693.44611811026*(3/4)</f>
        <v>3520.0845885826966</v>
      </c>
    </row>
    <row r="1166" spans="1:2" x14ac:dyDescent="0.3">
      <c r="A1166" s="2">
        <v>45706.5</v>
      </c>
      <c r="B1166">
        <f>4210.46394615776*(3/4)</f>
        <v>3157.8479596183215</v>
      </c>
    </row>
    <row r="1167" spans="1:2" x14ac:dyDescent="0.3">
      <c r="A1167" s="2">
        <v>45706.541666666657</v>
      </c>
      <c r="B1167">
        <f>4728.24191996003*(3/4)</f>
        <v>3546.1814399700215</v>
      </c>
    </row>
    <row r="1168" spans="1:2" x14ac:dyDescent="0.3">
      <c r="A1168" s="2">
        <v>45706.583333333343</v>
      </c>
      <c r="B1168">
        <f>4061.04583328983*(3/4)</f>
        <v>3045.7843749673693</v>
      </c>
    </row>
    <row r="1169" spans="1:2" x14ac:dyDescent="0.3">
      <c r="A1169" s="2">
        <v>45706.625</v>
      </c>
      <c r="B1169">
        <f>4324.97244204522*(3/4)</f>
        <v>3243.7293315339175</v>
      </c>
    </row>
    <row r="1170" spans="1:2" x14ac:dyDescent="0.3">
      <c r="A1170" s="2">
        <v>45706.666666666657</v>
      </c>
      <c r="B1170">
        <f>4714.63498361165*(3/4)</f>
        <v>3535.9762377087345</v>
      </c>
    </row>
    <row r="1171" spans="1:2" x14ac:dyDescent="0.3">
      <c r="A1171" s="2">
        <v>45706.708333333343</v>
      </c>
      <c r="B1171">
        <f>4422.78950098693*(3/4)</f>
        <v>3317.0921257401997</v>
      </c>
    </row>
    <row r="1172" spans="1:2" x14ac:dyDescent="0.3">
      <c r="A1172" s="2">
        <v>45706.75</v>
      </c>
      <c r="B1172">
        <f>4447.55671163928*(3/4)</f>
        <v>3335.66753372946</v>
      </c>
    </row>
    <row r="1173" spans="1:2" x14ac:dyDescent="0.3">
      <c r="A1173" s="2">
        <v>45706.791666666657</v>
      </c>
      <c r="B1173">
        <f>4581.33841049361*(3/4)</f>
        <v>3436.0038078702055</v>
      </c>
    </row>
    <row r="1174" spans="1:2" x14ac:dyDescent="0.3">
      <c r="A1174" s="2">
        <v>45706.833333333343</v>
      </c>
      <c r="B1174">
        <f>4800*(3/4)</f>
        <v>3600</v>
      </c>
    </row>
    <row r="1175" spans="1:2" x14ac:dyDescent="0.3">
      <c r="A1175" s="2">
        <v>45706.875</v>
      </c>
      <c r="B1175">
        <f>4747.28574750092*(3/4)</f>
        <v>3560.4643106256917</v>
      </c>
    </row>
    <row r="1176" spans="1:2" x14ac:dyDescent="0.3">
      <c r="A1176" s="2">
        <v>45706.916666666657</v>
      </c>
      <c r="B1176">
        <f>4264.38233093993*(3/4)</f>
        <v>3198.2867482049505</v>
      </c>
    </row>
    <row r="1177" spans="1:2" x14ac:dyDescent="0.3">
      <c r="A1177" s="2">
        <v>45706.958333333343</v>
      </c>
      <c r="B1177">
        <f>4091.23096615324*(3/4)</f>
        <v>3068.4232246149277</v>
      </c>
    </row>
    <row r="1178" spans="1:2" x14ac:dyDescent="0.3">
      <c r="A1178" s="2">
        <v>45707</v>
      </c>
      <c r="B1178">
        <f>4461.42222630553*(3/4)</f>
        <v>3346.0666697291463</v>
      </c>
    </row>
    <row r="1179" spans="1:2" x14ac:dyDescent="0.3">
      <c r="A1179" s="2">
        <v>45707.041666666657</v>
      </c>
      <c r="B1179">
        <f>4152.61081758187*(3/4)</f>
        <v>3114.4581131864038</v>
      </c>
    </row>
    <row r="1180" spans="1:2" x14ac:dyDescent="0.3">
      <c r="A1180" s="2">
        <v>45707.083333333343</v>
      </c>
      <c r="B1180">
        <f>4122.09652592237*(3/4)</f>
        <v>3091.5723944417805</v>
      </c>
    </row>
    <row r="1181" spans="1:2" x14ac:dyDescent="0.3">
      <c r="A1181" s="2">
        <v>45707.125</v>
      </c>
      <c r="B1181">
        <f>4088.14885532867*(3/4)</f>
        <v>3066.1116414965031</v>
      </c>
    </row>
    <row r="1182" spans="1:2" x14ac:dyDescent="0.3">
      <c r="A1182" s="2">
        <v>45707.166666666657</v>
      </c>
      <c r="B1182">
        <f>4567.56913790888*(3/4)</f>
        <v>3425.6768534316579</v>
      </c>
    </row>
    <row r="1183" spans="1:2" x14ac:dyDescent="0.3">
      <c r="A1183" s="2">
        <v>45707.208333333343</v>
      </c>
      <c r="B1183">
        <f>4314.51880704022*(3/4)</f>
        <v>3235.889105280165</v>
      </c>
    </row>
    <row r="1184" spans="1:2" x14ac:dyDescent="0.3">
      <c r="A1184" s="2">
        <v>45707.25</v>
      </c>
      <c r="B1184">
        <f>4223.15406280928*(3/4)</f>
        <v>3167.3655471069592</v>
      </c>
    </row>
    <row r="1185" spans="1:2" x14ac:dyDescent="0.3">
      <c r="A1185" s="2">
        <v>45707.291666666657</v>
      </c>
      <c r="B1185">
        <f>4477.82357117967*(3/4)</f>
        <v>3358.3676783847523</v>
      </c>
    </row>
    <row r="1186" spans="1:2" x14ac:dyDescent="0.3">
      <c r="A1186" s="2">
        <v>45707.333333333343</v>
      </c>
      <c r="B1186">
        <f>4800*(3/4)</f>
        <v>3600</v>
      </c>
    </row>
    <row r="1187" spans="1:2" x14ac:dyDescent="0.3">
      <c r="A1187" s="2">
        <v>45707.375</v>
      </c>
      <c r="B1187">
        <f>4401.01142948493*(3/4)</f>
        <v>3300.7585721137002</v>
      </c>
    </row>
    <row r="1188" spans="1:2" x14ac:dyDescent="0.3">
      <c r="A1188" s="2">
        <v>45707.416666666657</v>
      </c>
      <c r="B1188">
        <f>4569.69112249165*(3/4)</f>
        <v>3427.268341868737</v>
      </c>
    </row>
    <row r="1189" spans="1:2" x14ac:dyDescent="0.3">
      <c r="A1189" s="2">
        <v>45707.458333333343</v>
      </c>
      <c r="B1189">
        <f>4557.12308547211*(3/4)</f>
        <v>3417.8423141040789</v>
      </c>
    </row>
    <row r="1190" spans="1:2" x14ac:dyDescent="0.3">
      <c r="A1190" s="2">
        <v>45707.5</v>
      </c>
      <c r="B1190">
        <f>4800*(3/4)</f>
        <v>3600</v>
      </c>
    </row>
    <row r="1191" spans="1:2" x14ac:dyDescent="0.3">
      <c r="A1191" s="2">
        <v>45707.541666666657</v>
      </c>
      <c r="B1191">
        <f>4673.34058679557*(3/4)</f>
        <v>3505.0054400966792</v>
      </c>
    </row>
    <row r="1192" spans="1:2" x14ac:dyDescent="0.3">
      <c r="A1192" s="2">
        <v>45707.583333333343</v>
      </c>
      <c r="B1192">
        <f>4387.09255485854*(3/4)</f>
        <v>3290.3194161439069</v>
      </c>
    </row>
    <row r="1193" spans="1:2" x14ac:dyDescent="0.3">
      <c r="A1193" s="2">
        <v>45707.625</v>
      </c>
      <c r="B1193">
        <f>4184.65903451769*(3/4)</f>
        <v>3138.494275888268</v>
      </c>
    </row>
    <row r="1194" spans="1:2" x14ac:dyDescent="0.3">
      <c r="A1194" s="2">
        <v>45707.666666666657</v>
      </c>
      <c r="B1194">
        <f>4497.22800476493*(3/4)</f>
        <v>3372.9210035736996</v>
      </c>
    </row>
    <row r="1195" spans="1:2" x14ac:dyDescent="0.3">
      <c r="A1195" s="2">
        <v>45707.708333333343</v>
      </c>
      <c r="B1195">
        <f>4285.79742883677*(3/4)</f>
        <v>3214.3480716275808</v>
      </c>
    </row>
    <row r="1196" spans="1:2" x14ac:dyDescent="0.3">
      <c r="A1196" s="2">
        <v>45707.75</v>
      </c>
      <c r="B1196">
        <f>4475.87580611741*(3/4)</f>
        <v>3356.9068545880577</v>
      </c>
    </row>
    <row r="1197" spans="1:2" x14ac:dyDescent="0.3">
      <c r="A1197" s="2">
        <v>45707.791666666657</v>
      </c>
      <c r="B1197">
        <f>4800*(3/4)</f>
        <v>3600</v>
      </c>
    </row>
    <row r="1198" spans="1:2" x14ac:dyDescent="0.3">
      <c r="A1198" s="2">
        <v>45707.833333333343</v>
      </c>
      <c r="B1198">
        <f>4636.84589524703*(3/4)</f>
        <v>3477.6344214352698</v>
      </c>
    </row>
    <row r="1199" spans="1:2" x14ac:dyDescent="0.3">
      <c r="A1199" s="2">
        <v>45707.875</v>
      </c>
      <c r="B1199">
        <f>4282.65017876943*(3/4)</f>
        <v>3211.9876340770729</v>
      </c>
    </row>
    <row r="1200" spans="1:2" x14ac:dyDescent="0.3">
      <c r="A1200" s="2">
        <v>45707.916666666657</v>
      </c>
      <c r="B1200">
        <f>4090.78661204011*(3/4)</f>
        <v>3068.0899590300824</v>
      </c>
    </row>
    <row r="1201" spans="1:2" x14ac:dyDescent="0.3">
      <c r="A1201" s="2">
        <v>45707.958333333343</v>
      </c>
      <c r="B1201">
        <f>4309.74456336807*(3/4)</f>
        <v>3232.3084225260545</v>
      </c>
    </row>
    <row r="1202" spans="1:2" x14ac:dyDescent="0.3">
      <c r="A1202" s="2">
        <v>45708</v>
      </c>
      <c r="B1202">
        <f>4436.08274168778*(3/4)</f>
        <v>3327.0620562658351</v>
      </c>
    </row>
    <row r="1203" spans="1:2" x14ac:dyDescent="0.3">
      <c r="A1203" s="2">
        <v>45708.041666666657</v>
      </c>
      <c r="B1203">
        <f>4056.13576298256*(3/4)</f>
        <v>3042.1018222369185</v>
      </c>
    </row>
    <row r="1204" spans="1:2" x14ac:dyDescent="0.3">
      <c r="A1204" s="2">
        <v>45708.083333333343</v>
      </c>
      <c r="B1204">
        <f>4296.33414243515*(3/4)</f>
        <v>3222.2506068263638</v>
      </c>
    </row>
    <row r="1205" spans="1:2" x14ac:dyDescent="0.3">
      <c r="A1205" s="2">
        <v>45708.125</v>
      </c>
      <c r="B1205">
        <f>4482.70481559934*(3/4)</f>
        <v>3362.0286116995076</v>
      </c>
    </row>
    <row r="1206" spans="1:2" x14ac:dyDescent="0.3">
      <c r="A1206" s="2">
        <v>45708.166666666657</v>
      </c>
      <c r="B1206">
        <f>4310.80880128333*(3/4)</f>
        <v>3233.1066009624956</v>
      </c>
    </row>
    <row r="1207" spans="1:2" x14ac:dyDescent="0.3">
      <c r="A1207" s="2">
        <v>45708.208333333343</v>
      </c>
      <c r="B1207">
        <f>4315.20636873532*(3/4)</f>
        <v>3236.4047765514924</v>
      </c>
    </row>
    <row r="1208" spans="1:2" x14ac:dyDescent="0.3">
      <c r="A1208" s="2">
        <v>45708.25</v>
      </c>
      <c r="B1208">
        <f>4322.93235819978*(3/4)</f>
        <v>3242.1992686498334</v>
      </c>
    </row>
    <row r="1209" spans="1:2" x14ac:dyDescent="0.3">
      <c r="A1209" s="2">
        <v>45708.291666666657</v>
      </c>
      <c r="B1209">
        <f>4220.65612060862*(3/4)</f>
        <v>3165.4920904564669</v>
      </c>
    </row>
    <row r="1210" spans="1:2" x14ac:dyDescent="0.3">
      <c r="A1210" s="2">
        <v>45708.333333333343</v>
      </c>
      <c r="B1210">
        <f>4691.57871166797*(3/4)</f>
        <v>3518.6840337509811</v>
      </c>
    </row>
    <row r="1211" spans="1:2" x14ac:dyDescent="0.3">
      <c r="A1211" s="2">
        <v>45708.375</v>
      </c>
      <c r="B1211">
        <f>4605.89295741723*(3/4)</f>
        <v>3454.4197180629235</v>
      </c>
    </row>
    <row r="1212" spans="1:2" x14ac:dyDescent="0.3">
      <c r="A1212" s="2">
        <v>45708.416666666657</v>
      </c>
      <c r="B1212">
        <f>4436.88903434088*(3/4)</f>
        <v>3327.6667757556615</v>
      </c>
    </row>
    <row r="1213" spans="1:2" x14ac:dyDescent="0.3">
      <c r="A1213" s="2">
        <v>45708.458333333343</v>
      </c>
      <c r="B1213">
        <f>4375.93024398363*(3/4)</f>
        <v>3281.9476829877212</v>
      </c>
    </row>
    <row r="1214" spans="1:2" x14ac:dyDescent="0.3">
      <c r="A1214" s="2">
        <v>45708.5</v>
      </c>
      <c r="B1214">
        <f>4800*(3/4)</f>
        <v>3600</v>
      </c>
    </row>
    <row r="1215" spans="1:2" x14ac:dyDescent="0.3">
      <c r="A1215" s="2">
        <v>45708.541666666657</v>
      </c>
      <c r="B1215">
        <f>4407.76119818243*(3/4)</f>
        <v>3305.8208986368236</v>
      </c>
    </row>
    <row r="1216" spans="1:2" x14ac:dyDescent="0.3">
      <c r="A1216" s="2">
        <v>45708.583333333343</v>
      </c>
      <c r="B1216">
        <f>4117.23752152726*(3/4)</f>
        <v>3087.9281411454476</v>
      </c>
    </row>
    <row r="1217" spans="1:2" x14ac:dyDescent="0.3">
      <c r="A1217" s="2">
        <v>45708.625</v>
      </c>
      <c r="B1217">
        <f>4194.58832196217*(3/4)</f>
        <v>3145.9412414716289</v>
      </c>
    </row>
    <row r="1218" spans="1:2" x14ac:dyDescent="0.3">
      <c r="A1218" s="2">
        <v>45708.666666666657</v>
      </c>
      <c r="B1218">
        <f>4137.10420182974*(3/4)</f>
        <v>3102.8281513723086</v>
      </c>
    </row>
    <row r="1219" spans="1:2" x14ac:dyDescent="0.3">
      <c r="A1219" s="2">
        <v>45708.708333333343</v>
      </c>
      <c r="B1219">
        <f>4673.30181208166*(3/4)</f>
        <v>3504.9763590612483</v>
      </c>
    </row>
    <row r="1220" spans="1:2" x14ac:dyDescent="0.3">
      <c r="A1220" s="2">
        <v>45708.75</v>
      </c>
      <c r="B1220">
        <f>4465.29548046333*(3/4)</f>
        <v>3348.9716103474957</v>
      </c>
    </row>
    <row r="1221" spans="1:2" x14ac:dyDescent="0.3">
      <c r="A1221" s="2">
        <v>45708.791666666657</v>
      </c>
      <c r="B1221">
        <f>4362.47769036865*(3/4)</f>
        <v>3271.8582677764853</v>
      </c>
    </row>
    <row r="1222" spans="1:2" x14ac:dyDescent="0.3">
      <c r="A1222" s="2">
        <v>45708.833333333343</v>
      </c>
      <c r="B1222">
        <f>4603.84927850919*(3/4)</f>
        <v>3452.8869588818907</v>
      </c>
    </row>
    <row r="1223" spans="1:2" x14ac:dyDescent="0.3">
      <c r="A1223" s="2">
        <v>45708.875</v>
      </c>
      <c r="B1223">
        <f>4351.54443777361*(3/4)</f>
        <v>3263.6583283302089</v>
      </c>
    </row>
    <row r="1224" spans="1:2" x14ac:dyDescent="0.3">
      <c r="A1224" s="2">
        <v>45708.916666666657</v>
      </c>
      <c r="B1224">
        <f>4418.80358161193*(3/4)</f>
        <v>3314.1026862089448</v>
      </c>
    </row>
    <row r="1225" spans="1:2" x14ac:dyDescent="0.3">
      <c r="A1225" s="2">
        <v>45708.958333333343</v>
      </c>
      <c r="B1225">
        <f>4084.27385583435*(3/4)</f>
        <v>3063.2053918757592</v>
      </c>
    </row>
    <row r="1226" spans="1:2" x14ac:dyDescent="0.3">
      <c r="A1226" s="2">
        <v>45709</v>
      </c>
      <c r="B1226">
        <f>4713.92252519355*(3/4)</f>
        <v>3535.441893895163</v>
      </c>
    </row>
    <row r="1227" spans="1:2" x14ac:dyDescent="0.3">
      <c r="A1227" s="2">
        <v>45709.041666666657</v>
      </c>
      <c r="B1227">
        <f>4059.93986231966*(3/4)</f>
        <v>3044.9548967397473</v>
      </c>
    </row>
    <row r="1228" spans="1:2" x14ac:dyDescent="0.3">
      <c r="A1228" s="2">
        <v>45709.083333333343</v>
      </c>
      <c r="B1228">
        <f>4475.45090881909*(3/4)</f>
        <v>3356.5881816143174</v>
      </c>
    </row>
    <row r="1229" spans="1:2" x14ac:dyDescent="0.3">
      <c r="A1229" s="2">
        <v>45709.125</v>
      </c>
      <c r="B1229">
        <f>4215.89974339386*(3/4)</f>
        <v>3161.9248075453943</v>
      </c>
    </row>
    <row r="1230" spans="1:2" x14ac:dyDescent="0.3">
      <c r="A1230" s="2">
        <v>45709.166666666657</v>
      </c>
      <c r="B1230">
        <f>4265.50050591593*(3/4)</f>
        <v>3199.1253794369491</v>
      </c>
    </row>
    <row r="1231" spans="1:2" x14ac:dyDescent="0.3">
      <c r="A1231" s="2">
        <v>45709.208333333343</v>
      </c>
      <c r="B1231">
        <f>4364.95850885964*(3/4)</f>
        <v>3273.7188816447315</v>
      </c>
    </row>
    <row r="1232" spans="1:2" x14ac:dyDescent="0.3">
      <c r="A1232" s="2">
        <v>45709.25</v>
      </c>
      <c r="B1232">
        <f>3985.49927662802*(3/4)</f>
        <v>2989.1244574710158</v>
      </c>
    </row>
    <row r="1233" spans="1:2" x14ac:dyDescent="0.3">
      <c r="A1233" s="2">
        <v>45709.291666666657</v>
      </c>
      <c r="B1233">
        <f>4377.25379058761*(3/4)</f>
        <v>3282.9403429407057</v>
      </c>
    </row>
    <row r="1234" spans="1:2" x14ac:dyDescent="0.3">
      <c r="A1234" s="2">
        <v>45709.333333333343</v>
      </c>
      <c r="B1234">
        <f>4551.21101865458*(3/4)</f>
        <v>3413.4082639909334</v>
      </c>
    </row>
    <row r="1235" spans="1:2" x14ac:dyDescent="0.3">
      <c r="A1235" s="2">
        <v>45709.375</v>
      </c>
      <c r="B1235">
        <f>4152.35012799633*(3/4)</f>
        <v>3114.2625959972465</v>
      </c>
    </row>
    <row r="1236" spans="1:2" x14ac:dyDescent="0.3">
      <c r="A1236" s="2">
        <v>45709.416666666657</v>
      </c>
      <c r="B1236">
        <f>4488.95211712184*(3/4)</f>
        <v>3366.7140878413838</v>
      </c>
    </row>
    <row r="1237" spans="1:2" x14ac:dyDescent="0.3">
      <c r="A1237" s="2">
        <v>45709.458333333343</v>
      </c>
      <c r="B1237">
        <f>4327.45987784429*(3/4)</f>
        <v>3245.5949083832152</v>
      </c>
    </row>
    <row r="1238" spans="1:2" x14ac:dyDescent="0.3">
      <c r="A1238" s="2">
        <v>45709.5</v>
      </c>
      <c r="B1238">
        <f>4234.85136358675*(3/4)</f>
        <v>3176.1385226900634</v>
      </c>
    </row>
    <row r="1239" spans="1:2" x14ac:dyDescent="0.3">
      <c r="A1239" s="2">
        <v>45709.541666666657</v>
      </c>
      <c r="B1239">
        <f>4395.73480815938*(3/4)</f>
        <v>3296.8011061195357</v>
      </c>
    </row>
    <row r="1240" spans="1:2" x14ac:dyDescent="0.3">
      <c r="A1240" s="2">
        <v>45709.583333333343</v>
      </c>
      <c r="B1240">
        <f>4236.05984064292*(3/4)</f>
        <v>3177.0448804821863</v>
      </c>
    </row>
    <row r="1241" spans="1:2" x14ac:dyDescent="0.3">
      <c r="A1241" s="2">
        <v>45709.625</v>
      </c>
      <c r="B1241">
        <f>4607.82696087914*(3/4)</f>
        <v>3455.8702206593553</v>
      </c>
    </row>
    <row r="1242" spans="1:2" x14ac:dyDescent="0.3">
      <c r="A1242" s="2">
        <v>45709.666666666657</v>
      </c>
      <c r="B1242">
        <f>4595.49620703213*(3/4)</f>
        <v>3446.6221552741008</v>
      </c>
    </row>
    <row r="1243" spans="1:2" x14ac:dyDescent="0.3">
      <c r="A1243" s="2">
        <v>45709.708333333343</v>
      </c>
      <c r="B1243">
        <f>4139.5266192482*(3/4)</f>
        <v>3104.6449644361519</v>
      </c>
    </row>
    <row r="1244" spans="1:2" x14ac:dyDescent="0.3">
      <c r="A1244" s="2">
        <v>45709.75</v>
      </c>
      <c r="B1244">
        <f>4189.88047542832*(3/4)</f>
        <v>3142.4103565712403</v>
      </c>
    </row>
    <row r="1245" spans="1:2" x14ac:dyDescent="0.3">
      <c r="A1245" s="2">
        <v>45709.791666666657</v>
      </c>
      <c r="B1245">
        <f>4224.5087097823*(3/4)</f>
        <v>3168.3815323367253</v>
      </c>
    </row>
    <row r="1246" spans="1:2" x14ac:dyDescent="0.3">
      <c r="A1246" s="2">
        <v>45709.833333333343</v>
      </c>
      <c r="B1246">
        <f>4597.99704994293*(3/4)</f>
        <v>3448.4977874571987</v>
      </c>
    </row>
    <row r="1247" spans="1:2" x14ac:dyDescent="0.3">
      <c r="A1247" s="2">
        <v>45709.875</v>
      </c>
      <c r="B1247">
        <f>4166.92084721726*(3/4)</f>
        <v>3125.1906354129424</v>
      </c>
    </row>
    <row r="1248" spans="1:2" x14ac:dyDescent="0.3">
      <c r="A1248" s="2">
        <v>45709.916666666657</v>
      </c>
      <c r="B1248">
        <f>4098.74568604192*(3/4)</f>
        <v>3074.0592645314373</v>
      </c>
    </row>
    <row r="1249" spans="1:2" x14ac:dyDescent="0.3">
      <c r="A1249" s="2">
        <v>45709.958333333343</v>
      </c>
      <c r="B1249">
        <f>4351.18013148455*(3/4)</f>
        <v>3263.3850986134112</v>
      </c>
    </row>
    <row r="1250" spans="1:2" x14ac:dyDescent="0.3">
      <c r="A1250" s="2">
        <v>45710</v>
      </c>
      <c r="B1250">
        <f>4419.70137625222*(3/4)</f>
        <v>3314.7760321891637</v>
      </c>
    </row>
    <row r="1251" spans="1:2" x14ac:dyDescent="0.3">
      <c r="A1251" s="2">
        <v>45710.041666666657</v>
      </c>
      <c r="B1251">
        <f>4237.25166444337*(3/4)</f>
        <v>3177.9387483325295</v>
      </c>
    </row>
    <row r="1252" spans="1:2" x14ac:dyDescent="0.3">
      <c r="A1252" s="2">
        <v>45710.083333333343</v>
      </c>
      <c r="B1252">
        <f>4478.30009652995*(3/4)</f>
        <v>3358.7250723974594</v>
      </c>
    </row>
    <row r="1253" spans="1:2" x14ac:dyDescent="0.3">
      <c r="A1253" s="2">
        <v>45710.125</v>
      </c>
      <c r="B1253">
        <f>4425.92128972894*(3/4)</f>
        <v>3319.4409672967058</v>
      </c>
    </row>
    <row r="1254" spans="1:2" x14ac:dyDescent="0.3">
      <c r="A1254" s="2">
        <v>45710.166666666657</v>
      </c>
      <c r="B1254">
        <f>4446.61748403134*(3/4)</f>
        <v>3334.9631130235057</v>
      </c>
    </row>
    <row r="1255" spans="1:2" x14ac:dyDescent="0.3">
      <c r="A1255" s="2">
        <v>45710.208333333343</v>
      </c>
      <c r="B1255">
        <f>4440.7539685755*(3/4)</f>
        <v>3330.565476431625</v>
      </c>
    </row>
    <row r="1256" spans="1:2" x14ac:dyDescent="0.3">
      <c r="A1256" s="2">
        <v>45710.25</v>
      </c>
      <c r="B1256">
        <f>3961.58891939155*(3/4)</f>
        <v>2971.1916895436593</v>
      </c>
    </row>
    <row r="1257" spans="1:2" x14ac:dyDescent="0.3">
      <c r="A1257" s="2">
        <v>45710.291666666657</v>
      </c>
      <c r="B1257">
        <f>4701.49367433391*(3/4)</f>
        <v>3526.1202557504348</v>
      </c>
    </row>
    <row r="1258" spans="1:2" x14ac:dyDescent="0.3">
      <c r="A1258" s="2">
        <v>45710.333333333343</v>
      </c>
      <c r="B1258">
        <f>4522.63399611331*(3/4)</f>
        <v>3391.975497084979</v>
      </c>
    </row>
    <row r="1259" spans="1:2" x14ac:dyDescent="0.3">
      <c r="A1259" s="2">
        <v>45710.375</v>
      </c>
      <c r="B1259">
        <f>4767.96287256215*(3/4)</f>
        <v>3575.97215442161</v>
      </c>
    </row>
    <row r="1260" spans="1:2" x14ac:dyDescent="0.3">
      <c r="A1260" s="2">
        <v>45710.416666666657</v>
      </c>
      <c r="B1260">
        <f>4523.33173226711*(3/4)</f>
        <v>3392.4987992003312</v>
      </c>
    </row>
    <row r="1261" spans="1:2" x14ac:dyDescent="0.3">
      <c r="A1261" s="2">
        <v>45710.458333333343</v>
      </c>
      <c r="B1261">
        <f>4603.66220638286*(3/4)</f>
        <v>3452.7466547871445</v>
      </c>
    </row>
    <row r="1262" spans="1:2" x14ac:dyDescent="0.3">
      <c r="A1262" s="2">
        <v>45710.5</v>
      </c>
      <c r="B1262">
        <f>4800*(3/4)</f>
        <v>3600</v>
      </c>
    </row>
    <row r="1263" spans="1:2" x14ac:dyDescent="0.3">
      <c r="A1263" s="2">
        <v>45710.541666666657</v>
      </c>
      <c r="B1263">
        <f>4635.72691051303*(3/4)</f>
        <v>3476.7951828847704</v>
      </c>
    </row>
    <row r="1264" spans="1:2" x14ac:dyDescent="0.3">
      <c r="A1264" s="2">
        <v>45710.583333333343</v>
      </c>
      <c r="B1264">
        <f>3953.5826760269*(3/4)</f>
        <v>2965.1870070201735</v>
      </c>
    </row>
    <row r="1265" spans="1:2" x14ac:dyDescent="0.3">
      <c r="A1265" s="2">
        <v>45710.625</v>
      </c>
      <c r="B1265">
        <f>4161.44645568497*(3/4)</f>
        <v>3121.0848417637308</v>
      </c>
    </row>
    <row r="1266" spans="1:2" x14ac:dyDescent="0.3">
      <c r="A1266" s="2">
        <v>45710.666666666657</v>
      </c>
      <c r="B1266">
        <f>4368.27605744893*(3/4)</f>
        <v>3276.2070430866997</v>
      </c>
    </row>
    <row r="1267" spans="1:2" x14ac:dyDescent="0.3">
      <c r="A1267" s="2">
        <v>45710.708333333343</v>
      </c>
      <c r="B1267">
        <f>4525.84869854109*(3/4)</f>
        <v>3394.3865239058177</v>
      </c>
    </row>
    <row r="1268" spans="1:2" x14ac:dyDescent="0.3">
      <c r="A1268" s="2">
        <v>45710.75</v>
      </c>
      <c r="B1268">
        <f>4281.23879142151*(3/4)</f>
        <v>3210.9290935661302</v>
      </c>
    </row>
    <row r="1269" spans="1:2" x14ac:dyDescent="0.3">
      <c r="A1269" s="2">
        <v>45710.791666666657</v>
      </c>
      <c r="B1269">
        <f>4064.06300930711*(3/4)</f>
        <v>3048.0472569803342</v>
      </c>
    </row>
    <row r="1270" spans="1:2" x14ac:dyDescent="0.3">
      <c r="A1270" s="2">
        <v>45710.833333333343</v>
      </c>
      <c r="B1270">
        <f>4390.18554895574*(3/4)</f>
        <v>3292.6391617168019</v>
      </c>
    </row>
    <row r="1271" spans="1:2" x14ac:dyDescent="0.3">
      <c r="A1271" s="2">
        <v>45710.875</v>
      </c>
      <c r="B1271">
        <f>4205.99829571896*(3/4)</f>
        <v>3154.4987217892231</v>
      </c>
    </row>
    <row r="1272" spans="1:2" x14ac:dyDescent="0.3">
      <c r="A1272" s="2">
        <v>45710.916666666657</v>
      </c>
      <c r="B1272">
        <f>4259.75767108962*(3/4)</f>
        <v>3194.8182533172176</v>
      </c>
    </row>
    <row r="1273" spans="1:2" x14ac:dyDescent="0.3">
      <c r="A1273" s="2">
        <v>45710.958333333343</v>
      </c>
      <c r="B1273">
        <f>4167.39694290107*(3/4)</f>
        <v>3125.5477071758023</v>
      </c>
    </row>
    <row r="1274" spans="1:2" x14ac:dyDescent="0.3">
      <c r="A1274" s="2">
        <v>45711</v>
      </c>
      <c r="B1274">
        <f>4043.45376392088*(3/4)</f>
        <v>3032.590322940659</v>
      </c>
    </row>
    <row r="1275" spans="1:2" x14ac:dyDescent="0.3">
      <c r="A1275" s="2">
        <v>45711.041666666657</v>
      </c>
      <c r="B1275">
        <f>4587.94232199213*(3/4)</f>
        <v>3440.9567414941002</v>
      </c>
    </row>
    <row r="1276" spans="1:2" x14ac:dyDescent="0.3">
      <c r="A1276" s="2">
        <v>45711.083333333343</v>
      </c>
      <c r="B1276">
        <f>4440.33879035253*(3/4)</f>
        <v>3330.2540927644004</v>
      </c>
    </row>
    <row r="1277" spans="1:2" x14ac:dyDescent="0.3">
      <c r="A1277" s="2">
        <v>45711.125</v>
      </c>
      <c r="B1277">
        <f>4041.88935441568*(3/4)</f>
        <v>3031.4170158117586</v>
      </c>
    </row>
    <row r="1278" spans="1:2" x14ac:dyDescent="0.3">
      <c r="A1278" s="2">
        <v>45711.166666666657</v>
      </c>
      <c r="B1278">
        <f>4494.37217509019*(3/4)</f>
        <v>3370.7791313176449</v>
      </c>
    </row>
    <row r="1279" spans="1:2" x14ac:dyDescent="0.3">
      <c r="A1279" s="2">
        <v>45711.208333333343</v>
      </c>
      <c r="B1279">
        <f>4410.8473767455*(3/4)</f>
        <v>3308.1355325591276</v>
      </c>
    </row>
    <row r="1280" spans="1:2" x14ac:dyDescent="0.3">
      <c r="A1280" s="2">
        <v>45711.25</v>
      </c>
      <c r="B1280">
        <f>4231.97134255373*(3/4)</f>
        <v>3173.9785069153013</v>
      </c>
    </row>
    <row r="1281" spans="1:2" x14ac:dyDescent="0.3">
      <c r="A1281" s="2">
        <v>45711.291666666657</v>
      </c>
      <c r="B1281">
        <f>4612.99859951409*(3/4)</f>
        <v>3459.7489496355706</v>
      </c>
    </row>
    <row r="1282" spans="1:2" x14ac:dyDescent="0.3">
      <c r="A1282" s="2">
        <v>45711.333333333343</v>
      </c>
      <c r="B1282">
        <f>3974.0433373294*(3/4)</f>
        <v>2980.5325029970531</v>
      </c>
    </row>
    <row r="1283" spans="1:2" x14ac:dyDescent="0.3">
      <c r="A1283" s="2">
        <v>45711.375</v>
      </c>
      <c r="B1283">
        <f>3817.11565916179*(3/4)</f>
        <v>2862.83674437134</v>
      </c>
    </row>
    <row r="1284" spans="1:2" x14ac:dyDescent="0.3">
      <c r="A1284" s="2">
        <v>45711.416666666657</v>
      </c>
      <c r="B1284">
        <f>3917.52954723556*(3/4)</f>
        <v>2938.1471604266717</v>
      </c>
    </row>
    <row r="1285" spans="1:2" x14ac:dyDescent="0.3">
      <c r="A1285" s="2">
        <v>45711.458333333343</v>
      </c>
      <c r="B1285">
        <f>3491.83499466721*(3/4)</f>
        <v>2618.8762460004036</v>
      </c>
    </row>
    <row r="1286" spans="1:2" x14ac:dyDescent="0.3">
      <c r="A1286" s="2">
        <v>45711.5</v>
      </c>
      <c r="B1286">
        <f>3942.5128277661*(3/4)</f>
        <v>2956.8846208245741</v>
      </c>
    </row>
    <row r="1287" spans="1:2" x14ac:dyDescent="0.3">
      <c r="A1287" s="2">
        <v>45711.541666666657</v>
      </c>
      <c r="B1287">
        <f>3353.02409418626*(3/4)</f>
        <v>2514.7680706396973</v>
      </c>
    </row>
    <row r="1288" spans="1:2" x14ac:dyDescent="0.3">
      <c r="A1288" s="2">
        <v>45711.583333333343</v>
      </c>
      <c r="B1288">
        <f>3092.28407088698*(3/4)</f>
        <v>2319.2130531652365</v>
      </c>
    </row>
    <row r="1289" spans="1:2" x14ac:dyDescent="0.3">
      <c r="A1289" s="2">
        <v>45711.625</v>
      </c>
      <c r="B1289">
        <f>3635.48752756902*(3/4)</f>
        <v>2726.6156456767658</v>
      </c>
    </row>
    <row r="1290" spans="1:2" x14ac:dyDescent="0.3">
      <c r="A1290" s="2">
        <v>45711.666666666657</v>
      </c>
      <c r="B1290">
        <f>3736.12570336408*(3/4)</f>
        <v>2802.0942775230601</v>
      </c>
    </row>
    <row r="1291" spans="1:2" x14ac:dyDescent="0.3">
      <c r="A1291" s="2">
        <v>45711.708333333343</v>
      </c>
      <c r="B1291">
        <f>4714.45071970479*(3/4)</f>
        <v>3535.8380397785895</v>
      </c>
    </row>
    <row r="1292" spans="1:2" x14ac:dyDescent="0.3">
      <c r="A1292" s="2">
        <v>45711.75</v>
      </c>
      <c r="B1292">
        <f>4408.70378048296*(3/4)</f>
        <v>3306.5278353622216</v>
      </c>
    </row>
    <row r="1293" spans="1:2" x14ac:dyDescent="0.3">
      <c r="A1293" s="2">
        <v>45711.791666666657</v>
      </c>
      <c r="B1293">
        <f>4257.67915975742*(3/4)</f>
        <v>3193.2593698180654</v>
      </c>
    </row>
    <row r="1294" spans="1:2" x14ac:dyDescent="0.3">
      <c r="A1294" s="2">
        <v>45711.833333333343</v>
      </c>
      <c r="B1294">
        <f>4598.42146953195*(3/4)</f>
        <v>3448.8161021489614</v>
      </c>
    </row>
    <row r="1295" spans="1:2" x14ac:dyDescent="0.3">
      <c r="A1295" s="2">
        <v>45711.875</v>
      </c>
      <c r="B1295">
        <f>4594.6510833132*(3/4)</f>
        <v>3445.9883124849021</v>
      </c>
    </row>
    <row r="1296" spans="1:2" x14ac:dyDescent="0.3">
      <c r="A1296" s="2">
        <v>45711.916666666657</v>
      </c>
      <c r="B1296">
        <f>4361.53196858042*(3/4)</f>
        <v>3271.1489764353182</v>
      </c>
    </row>
    <row r="1297" spans="1:2" x14ac:dyDescent="0.3">
      <c r="A1297" s="2">
        <v>45711.958333333343</v>
      </c>
      <c r="B1297">
        <f>4212.85808317545*(3/4)</f>
        <v>3159.6435623815878</v>
      </c>
    </row>
    <row r="1298" spans="1:2" x14ac:dyDescent="0.3">
      <c r="A1298" s="2">
        <v>45712</v>
      </c>
      <c r="B1298">
        <f>4346.37020060734*(3/4)</f>
        <v>3259.777650455504</v>
      </c>
    </row>
    <row r="1299" spans="1:2" x14ac:dyDescent="0.3">
      <c r="A1299" s="2">
        <v>45712.041666666657</v>
      </c>
      <c r="B1299">
        <f>4461.29817501544*(3/4)</f>
        <v>3345.9736312615814</v>
      </c>
    </row>
    <row r="1300" spans="1:2" x14ac:dyDescent="0.3">
      <c r="A1300" s="2">
        <v>45712.083333333343</v>
      </c>
      <c r="B1300">
        <f>4355.81647158461*(3/4)</f>
        <v>3266.8623536884579</v>
      </c>
    </row>
    <row r="1301" spans="1:2" x14ac:dyDescent="0.3">
      <c r="A1301" s="2">
        <v>45712.125</v>
      </c>
      <c r="B1301">
        <f>4233.84985554346*(3/4)</f>
        <v>3175.3873916575967</v>
      </c>
    </row>
    <row r="1302" spans="1:2" x14ac:dyDescent="0.3">
      <c r="A1302" s="2">
        <v>45712.166666666657</v>
      </c>
      <c r="B1302">
        <f>4199.21641013234*(3/4)</f>
        <v>3149.4123075992547</v>
      </c>
    </row>
    <row r="1303" spans="1:2" x14ac:dyDescent="0.3">
      <c r="A1303" s="2">
        <v>45712.208333333343</v>
      </c>
      <c r="B1303">
        <f>4330.51760787931*(3/4)</f>
        <v>3247.8882059094803</v>
      </c>
    </row>
    <row r="1304" spans="1:2" x14ac:dyDescent="0.3">
      <c r="A1304" s="2">
        <v>45712.25</v>
      </c>
      <c r="B1304">
        <f>4307.55037428438*(3/4)</f>
        <v>3230.6627807132882</v>
      </c>
    </row>
    <row r="1305" spans="1:2" x14ac:dyDescent="0.3">
      <c r="A1305" s="2">
        <v>45712.291666666657</v>
      </c>
      <c r="B1305">
        <f>4556.96240743586*(3/4)</f>
        <v>3417.7218055768944</v>
      </c>
    </row>
    <row r="1306" spans="1:2" x14ac:dyDescent="0.3">
      <c r="A1306" s="2">
        <v>45712.333333333343</v>
      </c>
      <c r="B1306">
        <f>4542.74913951054*(3/4)</f>
        <v>3407.061854632906</v>
      </c>
    </row>
    <row r="1307" spans="1:2" x14ac:dyDescent="0.3">
      <c r="A1307" s="2">
        <v>45712.375</v>
      </c>
      <c r="B1307">
        <f>4734.44902551862*(3/4)</f>
        <v>3550.8367691389667</v>
      </c>
    </row>
    <row r="1308" spans="1:2" x14ac:dyDescent="0.3">
      <c r="A1308" s="2">
        <v>45712.416666666657</v>
      </c>
      <c r="B1308">
        <f>4192.87054433267*(3/4)</f>
        <v>3144.6529082495026</v>
      </c>
    </row>
    <row r="1309" spans="1:2" x14ac:dyDescent="0.3">
      <c r="A1309" s="2">
        <v>45712.458333333343</v>
      </c>
      <c r="B1309">
        <f>4224.37159543024*(3/4)</f>
        <v>3168.2786965726827</v>
      </c>
    </row>
    <row r="1310" spans="1:2" x14ac:dyDescent="0.3">
      <c r="A1310" s="2">
        <v>45712.5</v>
      </c>
      <c r="B1310">
        <f>4310.53700420602*(3/4)</f>
        <v>3232.902753154518</v>
      </c>
    </row>
    <row r="1311" spans="1:2" x14ac:dyDescent="0.3">
      <c r="A1311" s="2">
        <v>45712.541666666657</v>
      </c>
      <c r="B1311">
        <f>4507.46427028904*(3/4)</f>
        <v>3380.5982027167784</v>
      </c>
    </row>
    <row r="1312" spans="1:2" x14ac:dyDescent="0.3">
      <c r="A1312" s="2">
        <v>45712.583333333343</v>
      </c>
      <c r="B1312">
        <f>4073.99588584237*(3/4)</f>
        <v>3055.4969143817789</v>
      </c>
    </row>
    <row r="1313" spans="1:2" x14ac:dyDescent="0.3">
      <c r="A1313" s="2">
        <v>45712.625</v>
      </c>
      <c r="B1313">
        <f>4381.570295646*(3/4)</f>
        <v>3286.1777217344966</v>
      </c>
    </row>
    <row r="1314" spans="1:2" x14ac:dyDescent="0.3">
      <c r="A1314" s="2">
        <v>45712.666666666657</v>
      </c>
      <c r="B1314">
        <f>4761.33465489839*(3/4)</f>
        <v>3571.0009911737961</v>
      </c>
    </row>
    <row r="1315" spans="1:2" x14ac:dyDescent="0.3">
      <c r="A1315" s="2">
        <v>45712.708333333343</v>
      </c>
      <c r="B1315">
        <f>4246.99298961575*(3/4)</f>
        <v>3185.2447422118148</v>
      </c>
    </row>
    <row r="1316" spans="1:2" x14ac:dyDescent="0.3">
      <c r="A1316" s="2">
        <v>45712.75</v>
      </c>
      <c r="B1316">
        <f>4504.08314503918*(3/4)</f>
        <v>3378.0623587793843</v>
      </c>
    </row>
    <row r="1317" spans="1:2" x14ac:dyDescent="0.3">
      <c r="A1317" s="2">
        <v>45712.791666666657</v>
      </c>
      <c r="B1317">
        <f>4483.09135752226*(3/4)</f>
        <v>3362.3185181416975</v>
      </c>
    </row>
    <row r="1318" spans="1:2" x14ac:dyDescent="0.3">
      <c r="A1318" s="2">
        <v>45712.833333333343</v>
      </c>
      <c r="B1318">
        <f>4659.80686799947*(3/4)</f>
        <v>3494.8551509996023</v>
      </c>
    </row>
    <row r="1319" spans="1:2" x14ac:dyDescent="0.3">
      <c r="A1319" s="2">
        <v>45712.875</v>
      </c>
      <c r="B1319">
        <f>4309.69151631549*(3/4)</f>
        <v>3232.2686372366202</v>
      </c>
    </row>
    <row r="1320" spans="1:2" x14ac:dyDescent="0.3">
      <c r="A1320" s="2">
        <v>45712.916666666657</v>
      </c>
      <c r="B1320">
        <f>4416.38576354644*(3/4)</f>
        <v>3312.2893226598289</v>
      </c>
    </row>
    <row r="1321" spans="1:2" x14ac:dyDescent="0.3">
      <c r="A1321" s="2">
        <v>45712.958333333343</v>
      </c>
      <c r="B1321">
        <f>4167.25400018818*(3/4)</f>
        <v>3125.4405001411333</v>
      </c>
    </row>
    <row r="1322" spans="1:2" x14ac:dyDescent="0.3">
      <c r="A1322" s="2">
        <v>45713</v>
      </c>
      <c r="B1322">
        <f>4380.90398081799*(3/4)</f>
        <v>3285.6779856134945</v>
      </c>
    </row>
    <row r="1323" spans="1:2" x14ac:dyDescent="0.3">
      <c r="A1323" s="2">
        <v>45713.041666666657</v>
      </c>
      <c r="B1323">
        <f>4288.53166023397*(3/4)</f>
        <v>3216.3987451754738</v>
      </c>
    </row>
    <row r="1324" spans="1:2" x14ac:dyDescent="0.3">
      <c r="A1324" s="2">
        <v>45713.083333333343</v>
      </c>
      <c r="B1324">
        <f>4121.7436021489*(3/4)</f>
        <v>3091.3077016116777</v>
      </c>
    </row>
    <row r="1325" spans="1:2" x14ac:dyDescent="0.3">
      <c r="A1325" s="2">
        <v>45713.125</v>
      </c>
      <c r="B1325">
        <f>4562.33843131901*(3/4)</f>
        <v>3421.7538234892568</v>
      </c>
    </row>
    <row r="1326" spans="1:2" x14ac:dyDescent="0.3">
      <c r="A1326" s="2">
        <v>45713.166666666657</v>
      </c>
      <c r="B1326">
        <f>4130.41355504792*(3/4)</f>
        <v>3097.8101662859431</v>
      </c>
    </row>
    <row r="1327" spans="1:2" x14ac:dyDescent="0.3">
      <c r="A1327" s="2">
        <v>45713.208333333343</v>
      </c>
      <c r="B1327">
        <f>4132.30863628725*(3/4)</f>
        <v>3099.2314772154409</v>
      </c>
    </row>
    <row r="1328" spans="1:2" x14ac:dyDescent="0.3">
      <c r="A1328" s="2">
        <v>45713.25</v>
      </c>
      <c r="B1328">
        <f>4458.88936377194*(3/4)</f>
        <v>3344.167022828954</v>
      </c>
    </row>
    <row r="1329" spans="1:2" x14ac:dyDescent="0.3">
      <c r="A1329" s="2">
        <v>45713.291666666657</v>
      </c>
      <c r="B1329">
        <f>4455.13852892085*(3/4)</f>
        <v>3341.3538966906353</v>
      </c>
    </row>
    <row r="1330" spans="1:2" x14ac:dyDescent="0.3">
      <c r="A1330" s="2">
        <v>45713.333333333343</v>
      </c>
      <c r="B1330">
        <f>4429.97851757676*(3/4)</f>
        <v>3322.4838881825726</v>
      </c>
    </row>
    <row r="1331" spans="1:2" x14ac:dyDescent="0.3">
      <c r="A1331" s="2">
        <v>45713.375</v>
      </c>
      <c r="B1331">
        <f>4646.16727321258*(3/4)</f>
        <v>3484.6254549094315</v>
      </c>
    </row>
    <row r="1332" spans="1:2" x14ac:dyDescent="0.3">
      <c r="A1332" s="2">
        <v>45713.416666666657</v>
      </c>
      <c r="B1332">
        <f>4340.91166524983*(3/4)</f>
        <v>3255.6837489373693</v>
      </c>
    </row>
    <row r="1333" spans="1:2" x14ac:dyDescent="0.3">
      <c r="A1333" s="2">
        <v>45713.458333333343</v>
      </c>
      <c r="B1333">
        <f>4314.70013066775*(3/4)</f>
        <v>3236.02509800081</v>
      </c>
    </row>
    <row r="1334" spans="1:2" x14ac:dyDescent="0.3">
      <c r="A1334" s="2">
        <v>45713.5</v>
      </c>
      <c r="B1334">
        <f>4643.63096937706*(3/4)</f>
        <v>3482.7232270327941</v>
      </c>
    </row>
    <row r="1335" spans="1:2" x14ac:dyDescent="0.3">
      <c r="A1335" s="2">
        <v>45713.541666666657</v>
      </c>
      <c r="B1335">
        <f>4557.81033721237*(3/4)</f>
        <v>3418.3577529092759</v>
      </c>
    </row>
    <row r="1336" spans="1:2" x14ac:dyDescent="0.3">
      <c r="A1336" s="2">
        <v>45713.583333333343</v>
      </c>
      <c r="B1336">
        <f>4414.07289332287*(3/4)</f>
        <v>3310.5546699921515</v>
      </c>
    </row>
    <row r="1337" spans="1:2" x14ac:dyDescent="0.3">
      <c r="A1337" s="2">
        <v>45713.625</v>
      </c>
      <c r="B1337">
        <f>4124.88552092622*(3/4)</f>
        <v>3093.6641406946646</v>
      </c>
    </row>
    <row r="1338" spans="1:2" x14ac:dyDescent="0.3">
      <c r="A1338" s="2">
        <v>45713.666666666657</v>
      </c>
      <c r="B1338">
        <f>4538.07633540356*(3/4)</f>
        <v>3403.5572515526692</v>
      </c>
    </row>
    <row r="1339" spans="1:2" x14ac:dyDescent="0.3">
      <c r="A1339" s="2">
        <v>45713.708333333343</v>
      </c>
      <c r="B1339">
        <f>4193.57136959483*(3/4)</f>
        <v>3145.1785271961257</v>
      </c>
    </row>
    <row r="1340" spans="1:2" x14ac:dyDescent="0.3">
      <c r="A1340" s="2">
        <v>45713.75</v>
      </c>
      <c r="B1340">
        <f>4304.28718112021*(3/4)</f>
        <v>3228.2153858401543</v>
      </c>
    </row>
    <row r="1341" spans="1:2" x14ac:dyDescent="0.3">
      <c r="A1341" s="2">
        <v>45713.791666666657</v>
      </c>
      <c r="B1341">
        <f>4389.02319932698*(3/4)</f>
        <v>3291.767399495232</v>
      </c>
    </row>
    <row r="1342" spans="1:2" x14ac:dyDescent="0.3">
      <c r="A1342" s="2">
        <v>45713.833333333343</v>
      </c>
      <c r="B1342">
        <f>4330.4559857194*(3/4)</f>
        <v>3247.8419892895513</v>
      </c>
    </row>
    <row r="1343" spans="1:2" x14ac:dyDescent="0.3">
      <c r="A1343" s="2">
        <v>45713.875</v>
      </c>
      <c r="B1343">
        <f>4701.58123310205*(3/4)</f>
        <v>3526.1859248265382</v>
      </c>
    </row>
    <row r="1344" spans="1:2" x14ac:dyDescent="0.3">
      <c r="A1344" s="2">
        <v>45713.916666666657</v>
      </c>
      <c r="B1344">
        <f>4422.85491260554*(3/4)</f>
        <v>3317.1411844541517</v>
      </c>
    </row>
    <row r="1345" spans="1:2" x14ac:dyDescent="0.3">
      <c r="A1345" s="2">
        <v>45713.958333333343</v>
      </c>
      <c r="B1345">
        <f>4295.51783166149*(3/4)</f>
        <v>3221.6383737461197</v>
      </c>
    </row>
    <row r="1346" spans="1:2" x14ac:dyDescent="0.3">
      <c r="A1346" s="2">
        <v>45714</v>
      </c>
      <c r="B1346">
        <f>4176.94928354627*(3/4)</f>
        <v>3132.7119626597041</v>
      </c>
    </row>
    <row r="1347" spans="1:2" x14ac:dyDescent="0.3">
      <c r="A1347" s="2">
        <v>45714.041666666657</v>
      </c>
      <c r="B1347">
        <f>4594.49015066239*(3/4)</f>
        <v>3445.8676129967898</v>
      </c>
    </row>
    <row r="1348" spans="1:2" x14ac:dyDescent="0.3">
      <c r="A1348" s="2">
        <v>45714.083333333343</v>
      </c>
      <c r="B1348">
        <f>4147.56736681631*(3/4)</f>
        <v>3110.675525112234</v>
      </c>
    </row>
    <row r="1349" spans="1:2" x14ac:dyDescent="0.3">
      <c r="A1349" s="2">
        <v>45714.125</v>
      </c>
      <c r="B1349">
        <f>4498.16286121556*(3/4)</f>
        <v>3373.6221459116714</v>
      </c>
    </row>
    <row r="1350" spans="1:2" x14ac:dyDescent="0.3">
      <c r="A1350" s="2">
        <v>45714.166666666657</v>
      </c>
      <c r="B1350">
        <f>4518.4258041535*(3/4)</f>
        <v>3388.8193531151232</v>
      </c>
    </row>
    <row r="1351" spans="1:2" x14ac:dyDescent="0.3">
      <c r="A1351" s="2">
        <v>45714.208333333343</v>
      </c>
      <c r="B1351">
        <f>4370.88992518063*(3/4)</f>
        <v>3278.1674438854702</v>
      </c>
    </row>
    <row r="1352" spans="1:2" x14ac:dyDescent="0.3">
      <c r="A1352" s="2">
        <v>45714.25</v>
      </c>
      <c r="B1352">
        <f>4042.55272561096*(3/4)</f>
        <v>3031.9145442082199</v>
      </c>
    </row>
    <row r="1353" spans="1:2" x14ac:dyDescent="0.3">
      <c r="A1353" s="2">
        <v>45714.291666666657</v>
      </c>
      <c r="B1353">
        <f>4382.85460210336*(3/4)</f>
        <v>3287.1409515775172</v>
      </c>
    </row>
    <row r="1354" spans="1:2" x14ac:dyDescent="0.3">
      <c r="A1354" s="2">
        <v>45714.333333333343</v>
      </c>
      <c r="B1354">
        <f>4800*(3/4)</f>
        <v>3600</v>
      </c>
    </row>
    <row r="1355" spans="1:2" x14ac:dyDescent="0.3">
      <c r="A1355" s="2">
        <v>45714.375</v>
      </c>
      <c r="B1355">
        <f>4458.47529223533*(3/4)</f>
        <v>3343.8564691764982</v>
      </c>
    </row>
    <row r="1356" spans="1:2" x14ac:dyDescent="0.3">
      <c r="A1356" s="2">
        <v>45714.416666666657</v>
      </c>
      <c r="B1356">
        <f>4547.27344117332*(3/4)</f>
        <v>3410.4550808799886</v>
      </c>
    </row>
    <row r="1357" spans="1:2" x14ac:dyDescent="0.3">
      <c r="A1357" s="2">
        <v>45714.458333333343</v>
      </c>
      <c r="B1357">
        <f>4454.18989952978*(3/4)</f>
        <v>3340.642424647338</v>
      </c>
    </row>
    <row r="1358" spans="1:2" x14ac:dyDescent="0.3">
      <c r="A1358" s="2">
        <v>45714.5</v>
      </c>
      <c r="B1358">
        <f>4414.40819207926*(3/4)</f>
        <v>3310.8061440594411</v>
      </c>
    </row>
    <row r="1359" spans="1:2" x14ac:dyDescent="0.3">
      <c r="A1359" s="2">
        <v>45714.541666666657</v>
      </c>
      <c r="B1359">
        <f>4312.56981622735*(3/4)</f>
        <v>3234.4273621705152</v>
      </c>
    </row>
    <row r="1360" spans="1:2" x14ac:dyDescent="0.3">
      <c r="A1360" s="2">
        <v>45714.583333333343</v>
      </c>
      <c r="B1360">
        <f>3923.02101080805*(3/4)</f>
        <v>2942.2657581060344</v>
      </c>
    </row>
    <row r="1361" spans="1:2" x14ac:dyDescent="0.3">
      <c r="A1361" s="2">
        <v>45714.625</v>
      </c>
      <c r="B1361">
        <f>4664.40122493329*(3/4)</f>
        <v>3498.300918699968</v>
      </c>
    </row>
    <row r="1362" spans="1:2" x14ac:dyDescent="0.3">
      <c r="A1362" s="2">
        <v>45714.666666666657</v>
      </c>
      <c r="B1362">
        <f>4373.38854310092*(3/4)</f>
        <v>3280.0414073256898</v>
      </c>
    </row>
    <row r="1363" spans="1:2" x14ac:dyDescent="0.3">
      <c r="A1363" s="2">
        <v>45714.708333333343</v>
      </c>
      <c r="B1363">
        <f>4160.19262909033*(3/4)</f>
        <v>3120.144471817749</v>
      </c>
    </row>
    <row r="1364" spans="1:2" x14ac:dyDescent="0.3">
      <c r="A1364" s="2">
        <v>45714.75</v>
      </c>
      <c r="B1364">
        <f>4723.89729867565*(3/4)</f>
        <v>3542.9229740067353</v>
      </c>
    </row>
    <row r="1365" spans="1:2" x14ac:dyDescent="0.3">
      <c r="A1365" s="2">
        <v>45714.791666666657</v>
      </c>
      <c r="B1365">
        <f>4327.6595851401*(3/4)</f>
        <v>3245.7446888550762</v>
      </c>
    </row>
    <row r="1366" spans="1:2" x14ac:dyDescent="0.3">
      <c r="A1366" s="2">
        <v>45714.833333333343</v>
      </c>
      <c r="B1366">
        <f>4721.01569275169*(3/4)</f>
        <v>3540.7617695637673</v>
      </c>
    </row>
    <row r="1367" spans="1:2" x14ac:dyDescent="0.3">
      <c r="A1367" s="2">
        <v>45714.875</v>
      </c>
      <c r="B1367">
        <f>4262.4607598954*(3/4)</f>
        <v>3196.8455699215501</v>
      </c>
    </row>
    <row r="1368" spans="1:2" x14ac:dyDescent="0.3">
      <c r="A1368" s="2">
        <v>45714.916666666657</v>
      </c>
      <c r="B1368">
        <f>3982.29252894965*(3/4)</f>
        <v>2986.7193967122375</v>
      </c>
    </row>
    <row r="1369" spans="1:2" x14ac:dyDescent="0.3">
      <c r="A1369" s="2">
        <v>45714.958333333343</v>
      </c>
      <c r="B1369">
        <f>4438.70823348037*(3/4)</f>
        <v>3329.0311751102781</v>
      </c>
    </row>
    <row r="1370" spans="1:2" x14ac:dyDescent="0.3">
      <c r="A1370" s="2">
        <v>45715</v>
      </c>
      <c r="B1370">
        <f>4125.291399119*(3/4)</f>
        <v>3093.9685493392508</v>
      </c>
    </row>
    <row r="1371" spans="1:2" x14ac:dyDescent="0.3">
      <c r="A1371" s="2">
        <v>45715.041666666657</v>
      </c>
      <c r="B1371">
        <f>4381.76047104308*(3/4)</f>
        <v>3286.3203532823077</v>
      </c>
    </row>
    <row r="1372" spans="1:2" x14ac:dyDescent="0.3">
      <c r="A1372" s="2">
        <v>45715.083333333343</v>
      </c>
      <c r="B1372">
        <f>4322.58586559094*(3/4)</f>
        <v>3241.9393991932029</v>
      </c>
    </row>
    <row r="1373" spans="1:2" x14ac:dyDescent="0.3">
      <c r="A1373" s="2">
        <v>45715.125</v>
      </c>
      <c r="B1373">
        <f>4273.70761997933*(3/4)</f>
        <v>3205.2807149845003</v>
      </c>
    </row>
    <row r="1374" spans="1:2" x14ac:dyDescent="0.3">
      <c r="A1374" s="2">
        <v>45715.166666666657</v>
      </c>
      <c r="B1374">
        <f>4345.83778620075*(3/4)</f>
        <v>3259.378339650566</v>
      </c>
    </row>
    <row r="1375" spans="1:2" x14ac:dyDescent="0.3">
      <c r="A1375" s="2">
        <v>45715.208333333343</v>
      </c>
      <c r="B1375">
        <f>4559.23746081614*(3/4)</f>
        <v>3419.4280956121083</v>
      </c>
    </row>
    <row r="1376" spans="1:2" x14ac:dyDescent="0.3">
      <c r="A1376" s="2">
        <v>45715.25</v>
      </c>
      <c r="B1376">
        <f>4041.42542999651*(3/4)</f>
        <v>3031.0690724973801</v>
      </c>
    </row>
    <row r="1377" spans="1:2" x14ac:dyDescent="0.3">
      <c r="A1377" s="2">
        <v>45715.291666666657</v>
      </c>
      <c r="B1377">
        <f>4292.16298492728*(3/4)</f>
        <v>3219.1222386954587</v>
      </c>
    </row>
    <row r="1378" spans="1:2" x14ac:dyDescent="0.3">
      <c r="A1378" s="2">
        <v>45715.333333333343</v>
      </c>
      <c r="B1378">
        <f>4205.24935275496*(3/4)</f>
        <v>3153.9370145662197</v>
      </c>
    </row>
    <row r="1379" spans="1:2" x14ac:dyDescent="0.3">
      <c r="A1379" s="2">
        <v>45715.375</v>
      </c>
      <c r="B1379">
        <f>4281.64206875611*(3/4)</f>
        <v>3211.2315515670862</v>
      </c>
    </row>
    <row r="1380" spans="1:2" x14ac:dyDescent="0.3">
      <c r="A1380" s="2">
        <v>45715.416666666657</v>
      </c>
      <c r="B1380">
        <f>4652.80627436152*(3/4)</f>
        <v>3489.6047057711385</v>
      </c>
    </row>
    <row r="1381" spans="1:2" x14ac:dyDescent="0.3">
      <c r="A1381" s="2">
        <v>45715.458333333343</v>
      </c>
      <c r="B1381">
        <f>4717.79005905998*(3/4)</f>
        <v>3538.3425442949851</v>
      </c>
    </row>
    <row r="1382" spans="1:2" x14ac:dyDescent="0.3">
      <c r="A1382" s="2">
        <v>45715.5</v>
      </c>
      <c r="B1382">
        <f>4302.07482098899*(3/4)</f>
        <v>3226.5561157417451</v>
      </c>
    </row>
    <row r="1383" spans="1:2" x14ac:dyDescent="0.3">
      <c r="A1383" s="2">
        <v>45715.541666666657</v>
      </c>
      <c r="B1383">
        <f>4321.0695582927*(3/4)</f>
        <v>3240.8021687195287</v>
      </c>
    </row>
    <row r="1384" spans="1:2" x14ac:dyDescent="0.3">
      <c r="A1384" s="2">
        <v>45715.583333333343</v>
      </c>
      <c r="B1384">
        <f>4077.95607031973*(3/4)</f>
        <v>3058.4670527397952</v>
      </c>
    </row>
    <row r="1385" spans="1:2" x14ac:dyDescent="0.3">
      <c r="A1385" s="2">
        <v>45715.625</v>
      </c>
      <c r="B1385">
        <f>4545.92923105141*(3/4)</f>
        <v>3409.4469232885567</v>
      </c>
    </row>
    <row r="1386" spans="1:2" x14ac:dyDescent="0.3">
      <c r="A1386" s="2">
        <v>45715.666666666657</v>
      </c>
      <c r="B1386">
        <f>4767.68304270146*(3/4)</f>
        <v>3575.7622820260985</v>
      </c>
    </row>
    <row r="1387" spans="1:2" x14ac:dyDescent="0.3">
      <c r="A1387" s="2">
        <v>45715.708333333343</v>
      </c>
      <c r="B1387">
        <f>4469.21403452776*(3/4)</f>
        <v>3351.9105258958216</v>
      </c>
    </row>
    <row r="1388" spans="1:2" x14ac:dyDescent="0.3">
      <c r="A1388" s="2">
        <v>45715.75</v>
      </c>
      <c r="B1388">
        <f>4299.28842020498*(3/4)</f>
        <v>3224.4663151537329</v>
      </c>
    </row>
    <row r="1389" spans="1:2" x14ac:dyDescent="0.3">
      <c r="A1389" s="2">
        <v>45715.791666666657</v>
      </c>
      <c r="B1389">
        <f>4450.08627802204*(3/4)</f>
        <v>3337.5647085165292</v>
      </c>
    </row>
    <row r="1390" spans="1:2" x14ac:dyDescent="0.3">
      <c r="A1390" s="2">
        <v>45715.833333333343</v>
      </c>
      <c r="B1390">
        <f>4200.15982864568*(3/4)</f>
        <v>3150.1198714842594</v>
      </c>
    </row>
    <row r="1391" spans="1:2" x14ac:dyDescent="0.3">
      <c r="A1391" s="2">
        <v>45715.875</v>
      </c>
      <c r="B1391">
        <f>4249.27355736536*(3/4)</f>
        <v>3186.9551680240165</v>
      </c>
    </row>
    <row r="1392" spans="1:2" x14ac:dyDescent="0.3">
      <c r="A1392" s="2">
        <v>45715.916666666657</v>
      </c>
      <c r="B1392">
        <f>4278.79015509397*(3/4)</f>
        <v>3209.0926163204786</v>
      </c>
    </row>
    <row r="1393" spans="1:2" x14ac:dyDescent="0.3">
      <c r="A1393" s="2">
        <v>45715.958333333343</v>
      </c>
      <c r="B1393">
        <f>4599.64806581614*(3/4)</f>
        <v>3449.7360493621018</v>
      </c>
    </row>
    <row r="1394" spans="1:2" x14ac:dyDescent="0.3">
      <c r="A1394" s="2">
        <v>45716</v>
      </c>
      <c r="B1394">
        <f>4025.7565366471*(3/4)</f>
        <v>3019.3174024853242</v>
      </c>
    </row>
    <row r="1395" spans="1:2" x14ac:dyDescent="0.3">
      <c r="A1395" s="2">
        <v>45716.041666666657</v>
      </c>
      <c r="B1395">
        <f>4202.73582827748*(3/4)</f>
        <v>3152.0518712081102</v>
      </c>
    </row>
    <row r="1396" spans="1:2" x14ac:dyDescent="0.3">
      <c r="A1396" s="2">
        <v>45716.083333333343</v>
      </c>
      <c r="B1396">
        <f>4088.65367666267*(3/4)</f>
        <v>3066.4902574969992</v>
      </c>
    </row>
    <row r="1397" spans="1:2" x14ac:dyDescent="0.3">
      <c r="A1397" s="2">
        <v>45716.125</v>
      </c>
      <c r="B1397">
        <f>4278.78259805248*(3/4)</f>
        <v>3209.0869485393569</v>
      </c>
    </row>
    <row r="1398" spans="1:2" x14ac:dyDescent="0.3">
      <c r="A1398" s="2">
        <v>45716.166666666657</v>
      </c>
      <c r="B1398">
        <f>4165.77503563273*(3/4)</f>
        <v>3124.3312767245507</v>
      </c>
    </row>
    <row r="1399" spans="1:2" x14ac:dyDescent="0.3">
      <c r="A1399" s="2">
        <v>45716.208333333343</v>
      </c>
      <c r="B1399">
        <f>4242.33261867445*(3/4)</f>
        <v>3181.749464005838</v>
      </c>
    </row>
    <row r="1400" spans="1:2" x14ac:dyDescent="0.3">
      <c r="A1400" s="2">
        <v>45716.25</v>
      </c>
      <c r="B1400">
        <f>4300.00098619887*(3/4)</f>
        <v>3225.000739649151</v>
      </c>
    </row>
    <row r="1401" spans="1:2" x14ac:dyDescent="0.3">
      <c r="A1401" s="2">
        <v>45716.291666666657</v>
      </c>
      <c r="B1401">
        <f>4275.22989924397*(3/4)</f>
        <v>3206.4224244329748</v>
      </c>
    </row>
    <row r="1402" spans="1:2" x14ac:dyDescent="0.3">
      <c r="A1402" s="2">
        <v>45716.333333333343</v>
      </c>
      <c r="B1402">
        <f>4800*(3/4)</f>
        <v>3600</v>
      </c>
    </row>
    <row r="1403" spans="1:2" x14ac:dyDescent="0.3">
      <c r="A1403" s="2">
        <v>45716.375</v>
      </c>
      <c r="B1403">
        <f>4487.56744866468*(3/4)</f>
        <v>3365.675586498508</v>
      </c>
    </row>
    <row r="1404" spans="1:2" x14ac:dyDescent="0.3">
      <c r="A1404" s="2">
        <v>45716.416666666657</v>
      </c>
      <c r="B1404">
        <f>4544.77330937161*(3/4)</f>
        <v>3408.5799820287039</v>
      </c>
    </row>
    <row r="1405" spans="1:2" x14ac:dyDescent="0.3">
      <c r="A1405" s="2">
        <v>45716.458333333343</v>
      </c>
      <c r="B1405">
        <f>4266.39164618096*(3/4)</f>
        <v>3199.7937346357216</v>
      </c>
    </row>
    <row r="1406" spans="1:2" x14ac:dyDescent="0.3">
      <c r="A1406" s="2">
        <v>45716.5</v>
      </c>
      <c r="B1406">
        <f>4674.91229551658*(3/4)</f>
        <v>3506.1842216374316</v>
      </c>
    </row>
    <row r="1407" spans="1:2" x14ac:dyDescent="0.3">
      <c r="A1407" s="2">
        <v>45716.541666666657</v>
      </c>
      <c r="B1407">
        <f>4736.37704146592*(3/4)</f>
        <v>3552.2827810994436</v>
      </c>
    </row>
    <row r="1408" spans="1:2" x14ac:dyDescent="0.3">
      <c r="A1408" s="2">
        <v>45716.583333333343</v>
      </c>
      <c r="B1408">
        <f>3906.50986271035*(3/4)</f>
        <v>2929.8823970327649</v>
      </c>
    </row>
    <row r="1409" spans="1:2" x14ac:dyDescent="0.3">
      <c r="A1409" s="2">
        <v>45716.625</v>
      </c>
      <c r="B1409">
        <f>4443.68229931842*(3/4)</f>
        <v>3332.7617244888133</v>
      </c>
    </row>
    <row r="1410" spans="1:2" x14ac:dyDescent="0.3">
      <c r="A1410" s="2">
        <v>45716.666666666657</v>
      </c>
      <c r="B1410">
        <f>4720.00339680392*(3/4)</f>
        <v>3540.0025476029391</v>
      </c>
    </row>
    <row r="1411" spans="1:2" x14ac:dyDescent="0.3">
      <c r="A1411" s="2">
        <v>45716.708333333343</v>
      </c>
      <c r="B1411">
        <f>4150.11926061635*(3/4)</f>
        <v>3112.5894454622612</v>
      </c>
    </row>
    <row r="1412" spans="1:2" x14ac:dyDescent="0.3">
      <c r="A1412" s="2">
        <v>45716.75</v>
      </c>
      <c r="B1412">
        <f>4340.51718411252*(3/4)</f>
        <v>3255.3878880843904</v>
      </c>
    </row>
    <row r="1413" spans="1:2" x14ac:dyDescent="0.3">
      <c r="A1413" s="2">
        <v>45716.791666666657</v>
      </c>
      <c r="B1413">
        <f>4377.76518713504*(3/4)</f>
        <v>3283.3238903512784</v>
      </c>
    </row>
    <row r="1414" spans="1:2" x14ac:dyDescent="0.3">
      <c r="A1414" s="2">
        <v>45716.833333333343</v>
      </c>
      <c r="B1414">
        <f>4618.32849740521*(3/4)</f>
        <v>3463.7463730539071</v>
      </c>
    </row>
    <row r="1415" spans="1:2" x14ac:dyDescent="0.3">
      <c r="A1415" s="2">
        <v>45716.875</v>
      </c>
      <c r="B1415">
        <f>4224.74515685878*(3/4)</f>
        <v>3168.558867644088</v>
      </c>
    </row>
    <row r="1416" spans="1:2" x14ac:dyDescent="0.3">
      <c r="A1416" s="2">
        <v>45716.916666666657</v>
      </c>
      <c r="B1416">
        <f>4228.20467703385*(3/4)</f>
        <v>3171.1535077753911</v>
      </c>
    </row>
    <row r="1417" spans="1:2" x14ac:dyDescent="0.3">
      <c r="A1417" s="2">
        <v>45716.958333333343</v>
      </c>
      <c r="B1417">
        <f>4454.29472706778*(3/4)</f>
        <v>3340.7210453008347</v>
      </c>
    </row>
    <row r="1418" spans="1:2" x14ac:dyDescent="0.3">
      <c r="A1418" s="2">
        <v>45717</v>
      </c>
      <c r="B1418">
        <f>3938.77848746461*(3/4)</f>
        <v>2954.0838655984612</v>
      </c>
    </row>
    <row r="1419" spans="1:2" x14ac:dyDescent="0.3">
      <c r="A1419" s="2">
        <v>45717.041666666657</v>
      </c>
      <c r="B1419">
        <f>4051.93796866857*(3/4)</f>
        <v>3038.9534765014291</v>
      </c>
    </row>
    <row r="1420" spans="1:2" x14ac:dyDescent="0.3">
      <c r="A1420" s="2">
        <v>45717.083333333343</v>
      </c>
      <c r="B1420">
        <f>4135.02989329294*(3/4)</f>
        <v>3101.2724199697036</v>
      </c>
    </row>
    <row r="1421" spans="1:2" x14ac:dyDescent="0.3">
      <c r="A1421" s="2">
        <v>45717.125</v>
      </c>
      <c r="B1421">
        <f>3847.89392504944*(3/4)</f>
        <v>2885.920443787084</v>
      </c>
    </row>
    <row r="1422" spans="1:2" x14ac:dyDescent="0.3">
      <c r="A1422" s="2">
        <v>45717.166666666657</v>
      </c>
      <c r="B1422">
        <f>3605.37509918639*(3/4)</f>
        <v>2704.0313243897926</v>
      </c>
    </row>
    <row r="1423" spans="1:2" x14ac:dyDescent="0.3">
      <c r="A1423" s="2">
        <v>45717.208333333343</v>
      </c>
      <c r="B1423">
        <f>3909.76619787295*(3/4)</f>
        <v>2932.324648404709</v>
      </c>
    </row>
    <row r="1424" spans="1:2" x14ac:dyDescent="0.3">
      <c r="A1424" s="2">
        <v>45717.25</v>
      </c>
      <c r="B1424">
        <f>4040.12119194294*(3/4)</f>
        <v>3030.0908939572018</v>
      </c>
    </row>
    <row r="1425" spans="1:2" x14ac:dyDescent="0.3">
      <c r="A1425" s="2">
        <v>45717.291666666657</v>
      </c>
      <c r="B1425">
        <f>4100.54495998889*(3/4)</f>
        <v>3075.4087199916708</v>
      </c>
    </row>
    <row r="1426" spans="1:2" x14ac:dyDescent="0.3">
      <c r="A1426" s="2">
        <v>45717.333333333343</v>
      </c>
      <c r="B1426">
        <f>4222.04554437066*(3/4)</f>
        <v>3166.5341582779961</v>
      </c>
    </row>
    <row r="1427" spans="1:2" x14ac:dyDescent="0.3">
      <c r="A1427" s="2">
        <v>45717.375</v>
      </c>
      <c r="B1427">
        <f>3950.20193945724*(3/4)</f>
        <v>2962.6514545929317</v>
      </c>
    </row>
    <row r="1428" spans="1:2" x14ac:dyDescent="0.3">
      <c r="A1428" s="2">
        <v>45717.416666666657</v>
      </c>
      <c r="B1428">
        <f>4057.65555797288*(3/4)</f>
        <v>3043.2416684796576</v>
      </c>
    </row>
    <row r="1429" spans="1:2" x14ac:dyDescent="0.3">
      <c r="A1429" s="2">
        <v>45717.458333333343</v>
      </c>
      <c r="B1429">
        <f>4106.26628871467*(3/4)</f>
        <v>3079.6997165359999</v>
      </c>
    </row>
    <row r="1430" spans="1:2" x14ac:dyDescent="0.3">
      <c r="A1430" s="2">
        <v>45717.5</v>
      </c>
      <c r="B1430">
        <f>4407.98601868035*(3/4)</f>
        <v>3305.9895140102644</v>
      </c>
    </row>
    <row r="1431" spans="1:2" x14ac:dyDescent="0.3">
      <c r="A1431" s="2">
        <v>45717.541666666657</v>
      </c>
      <c r="B1431">
        <f>3993.34397474703*(3/4)</f>
        <v>2995.0079810602701</v>
      </c>
    </row>
    <row r="1432" spans="1:2" x14ac:dyDescent="0.3">
      <c r="A1432" s="2">
        <v>45717.583333333343</v>
      </c>
      <c r="B1432">
        <f>3832.05325396774*(3/4)</f>
        <v>2874.0399404758077</v>
      </c>
    </row>
    <row r="1433" spans="1:2" x14ac:dyDescent="0.3">
      <c r="A1433" s="2">
        <v>45717.625</v>
      </c>
      <c r="B1433">
        <f>3860.48436435997*(3/4)</f>
        <v>2895.3632732699762</v>
      </c>
    </row>
    <row r="1434" spans="1:2" x14ac:dyDescent="0.3">
      <c r="A1434" s="2">
        <v>45717.666666666657</v>
      </c>
      <c r="B1434">
        <f>4117.91585651514*(3/4)</f>
        <v>3088.4368923863585</v>
      </c>
    </row>
    <row r="1435" spans="1:2" x14ac:dyDescent="0.3">
      <c r="A1435" s="2">
        <v>45717.708333333343</v>
      </c>
      <c r="B1435">
        <f>4134.98884857341*(3/4)</f>
        <v>3101.2416364300575</v>
      </c>
    </row>
    <row r="1436" spans="1:2" x14ac:dyDescent="0.3">
      <c r="A1436" s="2">
        <v>45717.75</v>
      </c>
      <c r="B1436">
        <f>4176.91966540343*(3/4)</f>
        <v>3132.6897490525735</v>
      </c>
    </row>
    <row r="1437" spans="1:2" x14ac:dyDescent="0.3">
      <c r="A1437" s="2">
        <v>45717.791666666657</v>
      </c>
      <c r="B1437">
        <f>3858.33891524508*(3/4)</f>
        <v>2893.7541864338123</v>
      </c>
    </row>
    <row r="1438" spans="1:2" x14ac:dyDescent="0.3">
      <c r="A1438" s="2">
        <v>45717.833333333343</v>
      </c>
      <c r="B1438">
        <f>4086.03137358618*(3/4)</f>
        <v>3064.5235301896319</v>
      </c>
    </row>
    <row r="1439" spans="1:2" x14ac:dyDescent="0.3">
      <c r="A1439" s="2">
        <v>45717.875</v>
      </c>
      <c r="B1439">
        <f>3850.00196864222*(3/4)</f>
        <v>2887.5014764816633</v>
      </c>
    </row>
    <row r="1440" spans="1:2" x14ac:dyDescent="0.3">
      <c r="A1440" s="2">
        <v>45717.916666666657</v>
      </c>
      <c r="B1440">
        <f>3803.05621293753*(3/4)</f>
        <v>2852.2921597031482</v>
      </c>
    </row>
    <row r="1441" spans="1:2" x14ac:dyDescent="0.3">
      <c r="A1441" s="2">
        <v>45717.958333333343</v>
      </c>
      <c r="B1441">
        <f>3792.18279474338*(3/4)</f>
        <v>2844.1370960575355</v>
      </c>
    </row>
    <row r="1442" spans="1:2" x14ac:dyDescent="0.3">
      <c r="A1442" s="2">
        <v>45718</v>
      </c>
      <c r="B1442">
        <f>4037.36989678817*(3/4)</f>
        <v>3028.0274225911244</v>
      </c>
    </row>
    <row r="1443" spans="1:2" x14ac:dyDescent="0.3">
      <c r="A1443" s="2">
        <v>45718.041666666657</v>
      </c>
      <c r="B1443">
        <f>4085.5689057613*(3/4)</f>
        <v>3064.1766793209781</v>
      </c>
    </row>
    <row r="1444" spans="1:2" x14ac:dyDescent="0.3">
      <c r="A1444" s="2">
        <v>45718.083333333343</v>
      </c>
      <c r="B1444">
        <f>4005.26277294053*(3/4)</f>
        <v>3003.9470797053955</v>
      </c>
    </row>
    <row r="1445" spans="1:2" x14ac:dyDescent="0.3">
      <c r="A1445" s="2">
        <v>45718.125</v>
      </c>
      <c r="B1445">
        <f>3851.83191713417*(3/4)</f>
        <v>2888.8739378506298</v>
      </c>
    </row>
    <row r="1446" spans="1:2" x14ac:dyDescent="0.3">
      <c r="A1446" s="2">
        <v>45718.166666666657</v>
      </c>
      <c r="B1446">
        <f>3997.3590399168*(3/4)</f>
        <v>2998.0192799376009</v>
      </c>
    </row>
    <row r="1447" spans="1:2" x14ac:dyDescent="0.3">
      <c r="A1447" s="2">
        <v>45718.208333333343</v>
      </c>
      <c r="B1447">
        <f>3993.03747103535*(3/4)</f>
        <v>2994.7781032765156</v>
      </c>
    </row>
    <row r="1448" spans="1:2" x14ac:dyDescent="0.3">
      <c r="A1448" s="2">
        <v>45718.25</v>
      </c>
      <c r="B1448">
        <f>3811.13495765271*(3/4)</f>
        <v>2858.3512182395348</v>
      </c>
    </row>
    <row r="1449" spans="1:2" x14ac:dyDescent="0.3">
      <c r="A1449" s="2">
        <v>45718.291666666657</v>
      </c>
      <c r="B1449">
        <f>3929.09465942651*(3/4)</f>
        <v>2946.82099456988</v>
      </c>
    </row>
    <row r="1450" spans="1:2" x14ac:dyDescent="0.3">
      <c r="A1450" s="2">
        <v>45718.333333333343</v>
      </c>
      <c r="B1450">
        <f>3506.33925017935*(3/4)</f>
        <v>2629.754437634514</v>
      </c>
    </row>
    <row r="1451" spans="1:2" x14ac:dyDescent="0.3">
      <c r="A1451" s="2">
        <v>45718.375</v>
      </c>
      <c r="B1451">
        <f>3431.80214209045*(3/4)</f>
        <v>2573.8516065678359</v>
      </c>
    </row>
    <row r="1452" spans="1:2" x14ac:dyDescent="0.3">
      <c r="A1452" s="2">
        <v>45718.416666666657</v>
      </c>
      <c r="B1452">
        <f>3284.9467556879*(3/4)</f>
        <v>2463.7100667659251</v>
      </c>
    </row>
    <row r="1453" spans="1:2" x14ac:dyDescent="0.3">
      <c r="A1453" s="2">
        <v>45718.458333333343</v>
      </c>
      <c r="B1453">
        <f>3298.76006803585*(3/4)</f>
        <v>2474.0700510268844</v>
      </c>
    </row>
    <row r="1454" spans="1:2" x14ac:dyDescent="0.3">
      <c r="A1454" s="2">
        <v>45718.5</v>
      </c>
      <c r="B1454">
        <f>2861.47020615389*(3/4)</f>
        <v>2146.1026546154153</v>
      </c>
    </row>
    <row r="1455" spans="1:2" x14ac:dyDescent="0.3">
      <c r="A1455" s="2">
        <v>45718.541666666657</v>
      </c>
      <c r="B1455">
        <f>3313.74783079279*(3/4)</f>
        <v>2485.3108730945951</v>
      </c>
    </row>
    <row r="1456" spans="1:2" x14ac:dyDescent="0.3">
      <c r="A1456" s="2">
        <v>45718.583333333343</v>
      </c>
      <c r="B1456">
        <f>2994.39961401832*(3/4)</f>
        <v>2245.7997105137406</v>
      </c>
    </row>
    <row r="1457" spans="1:2" x14ac:dyDescent="0.3">
      <c r="A1457" s="2">
        <v>45718.625</v>
      </c>
      <c r="B1457">
        <f>3233.37983762915*(3/4)</f>
        <v>2425.0348782218625</v>
      </c>
    </row>
    <row r="1458" spans="1:2" x14ac:dyDescent="0.3">
      <c r="A1458" s="2">
        <v>45718.666666666657</v>
      </c>
      <c r="B1458">
        <f>3040.36072021812*(3/4)</f>
        <v>2280.270540163589</v>
      </c>
    </row>
    <row r="1459" spans="1:2" x14ac:dyDescent="0.3">
      <c r="A1459" s="2">
        <v>45718.708333333343</v>
      </c>
      <c r="B1459">
        <f>4147.9443134226*(3/4)</f>
        <v>3110.958235066948</v>
      </c>
    </row>
    <row r="1460" spans="1:2" x14ac:dyDescent="0.3">
      <c r="A1460" s="2">
        <v>45718.75</v>
      </c>
      <c r="B1460">
        <f>3989.37886279471*(3/4)</f>
        <v>2992.0341470960325</v>
      </c>
    </row>
    <row r="1461" spans="1:2" x14ac:dyDescent="0.3">
      <c r="A1461" s="2">
        <v>45718.791666666657</v>
      </c>
      <c r="B1461">
        <f>4074.15175242066*(3/4)</f>
        <v>3055.6138143154967</v>
      </c>
    </row>
    <row r="1462" spans="1:2" x14ac:dyDescent="0.3">
      <c r="A1462" s="2">
        <v>45718.833333333343</v>
      </c>
      <c r="B1462">
        <f>4251.48605379433*(3/4)</f>
        <v>3188.6145403457444</v>
      </c>
    </row>
    <row r="1463" spans="1:2" x14ac:dyDescent="0.3">
      <c r="A1463" s="2">
        <v>45718.875</v>
      </c>
      <c r="B1463">
        <f>4169.53893622346*(3/4)</f>
        <v>3127.1542021675987</v>
      </c>
    </row>
    <row r="1464" spans="1:2" x14ac:dyDescent="0.3">
      <c r="A1464" s="2">
        <v>45718.916666666657</v>
      </c>
      <c r="B1464">
        <f>3874.0621799013*(3/4)</f>
        <v>2905.546634925975</v>
      </c>
    </row>
    <row r="1465" spans="1:2" x14ac:dyDescent="0.3">
      <c r="A1465" s="2">
        <v>45718.958333333343</v>
      </c>
      <c r="B1465">
        <f>3692.12113200112*(3/4)</f>
        <v>2769.0908490008424</v>
      </c>
    </row>
    <row r="1466" spans="1:2" x14ac:dyDescent="0.3">
      <c r="A1466" s="2">
        <v>45719</v>
      </c>
      <c r="B1466">
        <f>3831.40750380648*(3/4)</f>
        <v>2873.555627854857</v>
      </c>
    </row>
    <row r="1467" spans="1:2" x14ac:dyDescent="0.3">
      <c r="A1467" s="2">
        <v>45719.041666666657</v>
      </c>
      <c r="B1467">
        <f>4087.01700781679*(3/4)</f>
        <v>3065.2627558625945</v>
      </c>
    </row>
    <row r="1468" spans="1:2" x14ac:dyDescent="0.3">
      <c r="A1468" s="2">
        <v>45719.083333333343</v>
      </c>
      <c r="B1468">
        <f>3944.54560406962*(3/4)</f>
        <v>2958.4092030522133</v>
      </c>
    </row>
    <row r="1469" spans="1:2" x14ac:dyDescent="0.3">
      <c r="A1469" s="2">
        <v>45719.125</v>
      </c>
      <c r="B1469">
        <f>3974.63920663712*(3/4)</f>
        <v>2980.9794049778375</v>
      </c>
    </row>
    <row r="1470" spans="1:2" x14ac:dyDescent="0.3">
      <c r="A1470" s="2">
        <v>45719.166666666657</v>
      </c>
      <c r="B1470">
        <f>3849.86621800677*(3/4)</f>
        <v>2887.3996635050798</v>
      </c>
    </row>
    <row r="1471" spans="1:2" x14ac:dyDescent="0.3">
      <c r="A1471" s="2">
        <v>45719.208333333343</v>
      </c>
      <c r="B1471">
        <f>3880.78363352582*(3/4)</f>
        <v>2910.5877251443621</v>
      </c>
    </row>
    <row r="1472" spans="1:2" x14ac:dyDescent="0.3">
      <c r="A1472" s="2">
        <v>45719.25</v>
      </c>
      <c r="B1472">
        <f>3875.15134102049*(3/4)</f>
        <v>2906.3635057653655</v>
      </c>
    </row>
    <row r="1473" spans="1:2" x14ac:dyDescent="0.3">
      <c r="A1473" s="2">
        <v>45719.291666666657</v>
      </c>
      <c r="B1473">
        <f>4206.01528880378*(3/4)</f>
        <v>3154.5114666028371</v>
      </c>
    </row>
    <row r="1474" spans="1:2" x14ac:dyDescent="0.3">
      <c r="A1474" s="2">
        <v>45719.333333333343</v>
      </c>
      <c r="B1474">
        <f>4194.42323012093*(3/4)</f>
        <v>3145.817422590696</v>
      </c>
    </row>
    <row r="1475" spans="1:2" x14ac:dyDescent="0.3">
      <c r="A1475" s="2">
        <v>45719.375</v>
      </c>
      <c r="B1475">
        <f>4182.02913262403*(3/4)</f>
        <v>3136.5218494680194</v>
      </c>
    </row>
    <row r="1476" spans="1:2" x14ac:dyDescent="0.3">
      <c r="A1476" s="2">
        <v>45719.416666666657</v>
      </c>
      <c r="B1476">
        <f>4129.4943666535*(3/4)</f>
        <v>3097.1207749901268</v>
      </c>
    </row>
    <row r="1477" spans="1:2" x14ac:dyDescent="0.3">
      <c r="A1477" s="2">
        <v>45719.458333333343</v>
      </c>
      <c r="B1477">
        <f>4093.96791923132*(3/4)</f>
        <v>3070.475939423492</v>
      </c>
    </row>
    <row r="1478" spans="1:2" x14ac:dyDescent="0.3">
      <c r="A1478" s="2">
        <v>45719.5</v>
      </c>
      <c r="B1478">
        <f>4264.78345519996*(3/4)</f>
        <v>3198.5875913999689</v>
      </c>
    </row>
    <row r="1479" spans="1:2" x14ac:dyDescent="0.3">
      <c r="A1479" s="2">
        <v>45719.541666666657</v>
      </c>
      <c r="B1479">
        <f>4246.66375762355*(3/4)</f>
        <v>3184.9978182176619</v>
      </c>
    </row>
    <row r="1480" spans="1:2" x14ac:dyDescent="0.3">
      <c r="A1480" s="2">
        <v>45719.583333333343</v>
      </c>
      <c r="B1480">
        <f>3658.64292667966*(3/4)</f>
        <v>2743.9821950097466</v>
      </c>
    </row>
    <row r="1481" spans="1:2" x14ac:dyDescent="0.3">
      <c r="A1481" s="2">
        <v>45719.625</v>
      </c>
      <c r="B1481">
        <f>4159.27925122635*(3/4)</f>
        <v>3119.4594384197662</v>
      </c>
    </row>
    <row r="1482" spans="1:2" x14ac:dyDescent="0.3">
      <c r="A1482" s="2">
        <v>45719.666666666657</v>
      </c>
      <c r="B1482">
        <f>4225.21450350874*(3/4)</f>
        <v>3168.9108776315516</v>
      </c>
    </row>
    <row r="1483" spans="1:2" x14ac:dyDescent="0.3">
      <c r="A1483" s="2">
        <v>45719.708333333343</v>
      </c>
      <c r="B1483">
        <f>3906.57185137226*(3/4)</f>
        <v>2929.9288885291917</v>
      </c>
    </row>
    <row r="1484" spans="1:2" x14ac:dyDescent="0.3">
      <c r="A1484" s="2">
        <v>45719.75</v>
      </c>
      <c r="B1484">
        <f>3745.23976115074*(3/4)</f>
        <v>2808.9298208630589</v>
      </c>
    </row>
    <row r="1485" spans="1:2" x14ac:dyDescent="0.3">
      <c r="A1485" s="2">
        <v>45719.791666666657</v>
      </c>
      <c r="B1485">
        <f>3999.17573665771*(3/4)</f>
        <v>2999.3818024932825</v>
      </c>
    </row>
    <row r="1486" spans="1:2" x14ac:dyDescent="0.3">
      <c r="A1486" s="2">
        <v>45719.833333333343</v>
      </c>
      <c r="B1486">
        <f>4437.08204152149*(3/4)</f>
        <v>3327.8115311411184</v>
      </c>
    </row>
    <row r="1487" spans="1:2" x14ac:dyDescent="0.3">
      <c r="A1487" s="2">
        <v>45719.875</v>
      </c>
      <c r="B1487">
        <f>4106.04417553408*(3/4)</f>
        <v>3079.5331316505599</v>
      </c>
    </row>
    <row r="1488" spans="1:2" x14ac:dyDescent="0.3">
      <c r="A1488" s="2">
        <v>45719.916666666657</v>
      </c>
      <c r="B1488">
        <f>3653.95331917876*(3/4)</f>
        <v>2740.4649893840669</v>
      </c>
    </row>
    <row r="1489" spans="1:2" x14ac:dyDescent="0.3">
      <c r="A1489" s="2">
        <v>45719.958333333343</v>
      </c>
      <c r="B1489">
        <f>3867.39356275889*(3/4)</f>
        <v>2900.5451720691699</v>
      </c>
    </row>
    <row r="1490" spans="1:2" x14ac:dyDescent="0.3">
      <c r="A1490" s="2">
        <v>45720</v>
      </c>
      <c r="B1490">
        <f>4255.24444072218*(3/4)</f>
        <v>3191.4333305416358</v>
      </c>
    </row>
    <row r="1491" spans="1:2" x14ac:dyDescent="0.3">
      <c r="A1491" s="2">
        <v>45720.041666666657</v>
      </c>
      <c r="B1491">
        <f>3921.4336807909*(3/4)</f>
        <v>2941.0752605931743</v>
      </c>
    </row>
    <row r="1492" spans="1:2" x14ac:dyDescent="0.3">
      <c r="A1492" s="2">
        <v>45720.083333333343</v>
      </c>
      <c r="B1492">
        <f>3964.46003441097*(3/4)</f>
        <v>2973.3450258082253</v>
      </c>
    </row>
    <row r="1493" spans="1:2" x14ac:dyDescent="0.3">
      <c r="A1493" s="2">
        <v>45720.125</v>
      </c>
      <c r="B1493">
        <f>4217.42271375744*(3/4)</f>
        <v>3163.0670353180822</v>
      </c>
    </row>
    <row r="1494" spans="1:2" x14ac:dyDescent="0.3">
      <c r="A1494" s="2">
        <v>45720.166666666657</v>
      </c>
      <c r="B1494">
        <f>3929.49895054073*(3/4)</f>
        <v>2947.1242129055454</v>
      </c>
    </row>
    <row r="1495" spans="1:2" x14ac:dyDescent="0.3">
      <c r="A1495" s="2">
        <v>45720.208333333343</v>
      </c>
      <c r="B1495">
        <f>3686.72852569987*(3/4)</f>
        <v>2765.0463942749016</v>
      </c>
    </row>
    <row r="1496" spans="1:2" x14ac:dyDescent="0.3">
      <c r="A1496" s="2">
        <v>45720.25</v>
      </c>
      <c r="B1496">
        <f>3903.93920267672*(3/4)</f>
        <v>2927.9544020075423</v>
      </c>
    </row>
    <row r="1497" spans="1:2" x14ac:dyDescent="0.3">
      <c r="A1497" s="2">
        <v>45720.291666666657</v>
      </c>
      <c r="B1497">
        <f>4130.95101012417*(3/4)</f>
        <v>3098.2132575931282</v>
      </c>
    </row>
    <row r="1498" spans="1:2" x14ac:dyDescent="0.3">
      <c r="A1498" s="2">
        <v>45720.333333333343</v>
      </c>
      <c r="B1498">
        <f>3906.17341345787*(3/4)</f>
        <v>2929.6300600934055</v>
      </c>
    </row>
    <row r="1499" spans="1:2" x14ac:dyDescent="0.3">
      <c r="A1499" s="2">
        <v>45720.375</v>
      </c>
      <c r="B1499">
        <f>4089.70620029927*(3/4)</f>
        <v>3067.279650224451</v>
      </c>
    </row>
    <row r="1500" spans="1:2" x14ac:dyDescent="0.3">
      <c r="A1500" s="2">
        <v>45720.416666666657</v>
      </c>
      <c r="B1500">
        <f>4012.37680550709*(3/4)</f>
        <v>3009.2826041303138</v>
      </c>
    </row>
    <row r="1501" spans="1:2" x14ac:dyDescent="0.3">
      <c r="A1501" s="2">
        <v>45720.458333333343</v>
      </c>
      <c r="B1501">
        <f>4168.16738852177*(3/4)</f>
        <v>3126.1255413913241</v>
      </c>
    </row>
    <row r="1502" spans="1:2" x14ac:dyDescent="0.3">
      <c r="A1502" s="2">
        <v>45720.5</v>
      </c>
      <c r="B1502">
        <f>4006.90684774497*(3/4)</f>
        <v>3005.1801358087237</v>
      </c>
    </row>
    <row r="1503" spans="1:2" x14ac:dyDescent="0.3">
      <c r="A1503" s="2">
        <v>45720.541666666657</v>
      </c>
      <c r="B1503">
        <f>4304.85173859447*(3/4)</f>
        <v>3228.6388039458557</v>
      </c>
    </row>
    <row r="1504" spans="1:2" x14ac:dyDescent="0.3">
      <c r="A1504" s="2">
        <v>45720.583333333343</v>
      </c>
      <c r="B1504">
        <f>3944.59777747619*(3/4)</f>
        <v>2958.4483331071451</v>
      </c>
    </row>
    <row r="1505" spans="1:2" x14ac:dyDescent="0.3">
      <c r="A1505" s="2">
        <v>45720.625</v>
      </c>
      <c r="B1505">
        <f>3926.0813084272*(3/4)</f>
        <v>2944.5609813204001</v>
      </c>
    </row>
    <row r="1506" spans="1:2" x14ac:dyDescent="0.3">
      <c r="A1506" s="2">
        <v>45720.666666666657</v>
      </c>
      <c r="B1506">
        <f>4151.59598737985*(3/4)</f>
        <v>3113.6969905348869</v>
      </c>
    </row>
    <row r="1507" spans="1:2" x14ac:dyDescent="0.3">
      <c r="A1507" s="2">
        <v>45720.708333333343</v>
      </c>
      <c r="B1507">
        <f>3998.45893353619*(3/4)</f>
        <v>2998.8442001521439</v>
      </c>
    </row>
    <row r="1508" spans="1:2" x14ac:dyDescent="0.3">
      <c r="A1508" s="2">
        <v>45720.75</v>
      </c>
      <c r="B1508">
        <f>3856.09986545417*(3/4)</f>
        <v>2892.0748990906313</v>
      </c>
    </row>
    <row r="1509" spans="1:2" x14ac:dyDescent="0.3">
      <c r="A1509" s="2">
        <v>45720.791666666657</v>
      </c>
      <c r="B1509">
        <f>3987.30331221034*(3/4)</f>
        <v>2990.477484157756</v>
      </c>
    </row>
    <row r="1510" spans="1:2" x14ac:dyDescent="0.3">
      <c r="A1510" s="2">
        <v>45720.833333333343</v>
      </c>
      <c r="B1510">
        <f>3691.94352135557*(3/4)</f>
        <v>2768.957641016676</v>
      </c>
    </row>
    <row r="1511" spans="1:2" x14ac:dyDescent="0.3">
      <c r="A1511" s="2">
        <v>45720.875</v>
      </c>
      <c r="B1511">
        <f>3983.83498514897*(3/4)</f>
        <v>2987.8762388617261</v>
      </c>
    </row>
    <row r="1512" spans="1:2" x14ac:dyDescent="0.3">
      <c r="A1512" s="2">
        <v>45720.916666666657</v>
      </c>
      <c r="B1512">
        <f>3766.90412170974*(3/4)</f>
        <v>2825.1780912823028</v>
      </c>
    </row>
    <row r="1513" spans="1:2" x14ac:dyDescent="0.3">
      <c r="A1513" s="2">
        <v>45720.958333333343</v>
      </c>
      <c r="B1513">
        <f>4084.28829559014*(3/4)</f>
        <v>3063.2162216926013</v>
      </c>
    </row>
    <row r="1514" spans="1:2" x14ac:dyDescent="0.3">
      <c r="A1514" s="2">
        <v>45721</v>
      </c>
      <c r="B1514">
        <f>3813.50417292458*(3/4)</f>
        <v>2860.1281296934344</v>
      </c>
    </row>
    <row r="1515" spans="1:2" x14ac:dyDescent="0.3">
      <c r="A1515" s="2">
        <v>45721.041666666657</v>
      </c>
      <c r="B1515">
        <f>3894.37800482326*(3/4)</f>
        <v>2920.7835036174456</v>
      </c>
    </row>
    <row r="1516" spans="1:2" x14ac:dyDescent="0.3">
      <c r="A1516" s="2">
        <v>45721.083333333343</v>
      </c>
      <c r="B1516">
        <f>3766.14268160916*(3/4)</f>
        <v>2824.607011206871</v>
      </c>
    </row>
    <row r="1517" spans="1:2" x14ac:dyDescent="0.3">
      <c r="A1517" s="2">
        <v>45721.125</v>
      </c>
      <c r="B1517">
        <f>4012.77640474299*(3/4)</f>
        <v>3009.5823035572394</v>
      </c>
    </row>
    <row r="1518" spans="1:2" x14ac:dyDescent="0.3">
      <c r="A1518" s="2">
        <v>45721.166666666657</v>
      </c>
      <c r="B1518">
        <f>3973.42076518267*(3/4)</f>
        <v>2980.0655738870055</v>
      </c>
    </row>
    <row r="1519" spans="1:2" x14ac:dyDescent="0.3">
      <c r="A1519" s="2">
        <v>45721.208333333343</v>
      </c>
      <c r="B1519">
        <f>3952.25295910722*(3/4)</f>
        <v>2964.1897193304167</v>
      </c>
    </row>
    <row r="1520" spans="1:2" x14ac:dyDescent="0.3">
      <c r="A1520" s="2">
        <v>45721.25</v>
      </c>
      <c r="B1520">
        <f>4002.32267031084*(3/4)</f>
        <v>3001.7420027331309</v>
      </c>
    </row>
    <row r="1521" spans="1:2" x14ac:dyDescent="0.3">
      <c r="A1521" s="2">
        <v>45721.291666666657</v>
      </c>
      <c r="B1521">
        <f>3979.01468976022*(3/4)</f>
        <v>2984.2610173201647</v>
      </c>
    </row>
    <row r="1522" spans="1:2" x14ac:dyDescent="0.3">
      <c r="A1522" s="2">
        <v>45721.333333333343</v>
      </c>
      <c r="B1522">
        <f>4174.20615860277*(3/4)</f>
        <v>3130.6546189520805</v>
      </c>
    </row>
    <row r="1523" spans="1:2" x14ac:dyDescent="0.3">
      <c r="A1523" s="2">
        <v>45721.375</v>
      </c>
      <c r="B1523">
        <f>4220.30746199998*(3/4)</f>
        <v>3165.2305964999841</v>
      </c>
    </row>
    <row r="1524" spans="1:2" x14ac:dyDescent="0.3">
      <c r="A1524" s="2">
        <v>45721.416666666657</v>
      </c>
      <c r="B1524">
        <f>4242.51819758137*(3/4)</f>
        <v>3181.88864818603</v>
      </c>
    </row>
    <row r="1525" spans="1:2" x14ac:dyDescent="0.3">
      <c r="A1525" s="2">
        <v>45721.458333333343</v>
      </c>
      <c r="B1525">
        <f>3800.68219584041*(3/4)</f>
        <v>2850.5116468803053</v>
      </c>
    </row>
    <row r="1526" spans="1:2" x14ac:dyDescent="0.3">
      <c r="A1526" s="2">
        <v>45721.5</v>
      </c>
      <c r="B1526">
        <f>3995.3562791358*(3/4)</f>
        <v>2996.5172093518499</v>
      </c>
    </row>
    <row r="1527" spans="1:2" x14ac:dyDescent="0.3">
      <c r="A1527" s="2">
        <v>45721.541666666657</v>
      </c>
      <c r="B1527">
        <f>4037.61482884146*(3/4)</f>
        <v>3028.2111216310959</v>
      </c>
    </row>
    <row r="1528" spans="1:2" x14ac:dyDescent="0.3">
      <c r="A1528" s="2">
        <v>45721.583333333343</v>
      </c>
      <c r="B1528">
        <f>3675.48801614999*(3/4)</f>
        <v>2756.6160121124958</v>
      </c>
    </row>
    <row r="1529" spans="1:2" x14ac:dyDescent="0.3">
      <c r="A1529" s="2">
        <v>45721.625</v>
      </c>
      <c r="B1529">
        <f>3942.28869286663*(3/4)</f>
        <v>2956.7165196499723</v>
      </c>
    </row>
    <row r="1530" spans="1:2" x14ac:dyDescent="0.3">
      <c r="A1530" s="2">
        <v>45721.666666666657</v>
      </c>
      <c r="B1530">
        <f>3648.68804803055*(3/4)</f>
        <v>2736.5160360229156</v>
      </c>
    </row>
    <row r="1531" spans="1:2" x14ac:dyDescent="0.3">
      <c r="A1531" s="2">
        <v>45721.708333333343</v>
      </c>
      <c r="B1531">
        <f>3783.95137578087*(3/4)</f>
        <v>2837.96353183565</v>
      </c>
    </row>
    <row r="1532" spans="1:2" x14ac:dyDescent="0.3">
      <c r="A1532" s="2">
        <v>45721.75</v>
      </c>
      <c r="B1532">
        <f>4106.39893039961*(3/4)</f>
        <v>3079.7991977997099</v>
      </c>
    </row>
    <row r="1533" spans="1:2" x14ac:dyDescent="0.3">
      <c r="A1533" s="2">
        <v>45721.791666666657</v>
      </c>
      <c r="B1533">
        <f>3918.53993252283*(3/4)</f>
        <v>2938.9049493921193</v>
      </c>
    </row>
    <row r="1534" spans="1:2" x14ac:dyDescent="0.3">
      <c r="A1534" s="2">
        <v>45721.833333333343</v>
      </c>
      <c r="B1534">
        <f>3904.05519693158*(3/4)</f>
        <v>2928.0413976986874</v>
      </c>
    </row>
    <row r="1535" spans="1:2" x14ac:dyDescent="0.3">
      <c r="A1535" s="2">
        <v>45721.875</v>
      </c>
      <c r="B1535">
        <f>3817.28310841836*(3/4)</f>
        <v>2862.9623313137681</v>
      </c>
    </row>
    <row r="1536" spans="1:2" x14ac:dyDescent="0.3">
      <c r="A1536" s="2">
        <v>45721.916666666657</v>
      </c>
      <c r="B1536">
        <f>4026.24137665169*(3/4)</f>
        <v>3019.681032488766</v>
      </c>
    </row>
    <row r="1537" spans="1:2" x14ac:dyDescent="0.3">
      <c r="A1537" s="2">
        <v>45721.958333333343</v>
      </c>
      <c r="B1537">
        <f>4133.50190118868*(3/4)</f>
        <v>3100.1264258915107</v>
      </c>
    </row>
    <row r="1538" spans="1:2" x14ac:dyDescent="0.3">
      <c r="A1538" s="2">
        <v>45722</v>
      </c>
      <c r="B1538">
        <f>4061.13915571256*(3/4)</f>
        <v>3045.8543667844224</v>
      </c>
    </row>
    <row r="1539" spans="1:2" x14ac:dyDescent="0.3">
      <c r="A1539" s="2">
        <v>45722.041666666657</v>
      </c>
      <c r="B1539">
        <f>4013.31841062066*(3/4)</f>
        <v>3009.988807965492</v>
      </c>
    </row>
    <row r="1540" spans="1:2" x14ac:dyDescent="0.3">
      <c r="A1540" s="2">
        <v>45722.083333333343</v>
      </c>
      <c r="B1540">
        <f>4024.6543185159*(3/4)</f>
        <v>3018.490738886926</v>
      </c>
    </row>
    <row r="1541" spans="1:2" x14ac:dyDescent="0.3">
      <c r="A1541" s="2">
        <v>45722.125</v>
      </c>
      <c r="B1541">
        <f>3736.80313916533*(3/4)</f>
        <v>2802.6023543739975</v>
      </c>
    </row>
    <row r="1542" spans="1:2" x14ac:dyDescent="0.3">
      <c r="A1542" s="2">
        <v>45722.166666666657</v>
      </c>
      <c r="B1542">
        <f>4056.86679505818*(3/4)</f>
        <v>3042.6500962936343</v>
      </c>
    </row>
    <row r="1543" spans="1:2" x14ac:dyDescent="0.3">
      <c r="A1543" s="2">
        <v>45722.208333333343</v>
      </c>
      <c r="B1543">
        <f>3830.7851245052*(3/4)</f>
        <v>2873.0888433788991</v>
      </c>
    </row>
    <row r="1544" spans="1:2" x14ac:dyDescent="0.3">
      <c r="A1544" s="2">
        <v>45722.25</v>
      </c>
      <c r="B1544">
        <f>3796.86155766597*(3/4)</f>
        <v>2847.6461682494783</v>
      </c>
    </row>
    <row r="1545" spans="1:2" x14ac:dyDescent="0.3">
      <c r="A1545" s="2">
        <v>45722.291666666657</v>
      </c>
      <c r="B1545">
        <f>4072.4034279758*(3/4)</f>
        <v>3054.3025709818517</v>
      </c>
    </row>
    <row r="1546" spans="1:2" x14ac:dyDescent="0.3">
      <c r="A1546" s="2">
        <v>45722.333333333343</v>
      </c>
      <c r="B1546">
        <f>4135.82658611874*(3/4)</f>
        <v>3101.869939589058</v>
      </c>
    </row>
    <row r="1547" spans="1:2" x14ac:dyDescent="0.3">
      <c r="A1547" s="2">
        <v>45722.375</v>
      </c>
      <c r="B1547">
        <f>3825.55571996636*(3/4)</f>
        <v>2869.1667899747708</v>
      </c>
    </row>
    <row r="1548" spans="1:2" x14ac:dyDescent="0.3">
      <c r="A1548" s="2">
        <v>45722.416666666657</v>
      </c>
      <c r="B1548">
        <f>4303.30445623359*(3/4)</f>
        <v>3227.4783421751936</v>
      </c>
    </row>
    <row r="1549" spans="1:2" x14ac:dyDescent="0.3">
      <c r="A1549" s="2">
        <v>45722.458333333343</v>
      </c>
      <c r="B1549">
        <f>4069.06910203757*(3/4)</f>
        <v>3051.8018265281803</v>
      </c>
    </row>
    <row r="1550" spans="1:2" x14ac:dyDescent="0.3">
      <c r="A1550" s="2">
        <v>45722.5</v>
      </c>
      <c r="B1550">
        <f>4160.54159068699*(3/4)</f>
        <v>3120.4061930152457</v>
      </c>
    </row>
    <row r="1551" spans="1:2" x14ac:dyDescent="0.3">
      <c r="A1551" s="2">
        <v>45722.541666666657</v>
      </c>
      <c r="B1551">
        <f>4104.60800631989*(3/4)</f>
        <v>3078.4560047399136</v>
      </c>
    </row>
    <row r="1552" spans="1:2" x14ac:dyDescent="0.3">
      <c r="A1552" s="2">
        <v>45722.583333333343</v>
      </c>
      <c r="B1552">
        <f>3784.00681468822*(3/4)</f>
        <v>2838.0051110161667</v>
      </c>
    </row>
    <row r="1553" spans="1:2" x14ac:dyDescent="0.3">
      <c r="A1553" s="2">
        <v>45722.625</v>
      </c>
      <c r="B1553">
        <f>3909.16115800428*(3/4)</f>
        <v>2931.8708685032075</v>
      </c>
    </row>
    <row r="1554" spans="1:2" x14ac:dyDescent="0.3">
      <c r="A1554" s="2">
        <v>45722.666666666657</v>
      </c>
      <c r="B1554">
        <f>3923.22873856129*(3/4)</f>
        <v>2942.4215539209667</v>
      </c>
    </row>
    <row r="1555" spans="1:2" x14ac:dyDescent="0.3">
      <c r="A1555" s="2">
        <v>45722.708333333343</v>
      </c>
      <c r="B1555">
        <f>3968.23675839409*(3/4)</f>
        <v>2976.1775687955674</v>
      </c>
    </row>
    <row r="1556" spans="1:2" x14ac:dyDescent="0.3">
      <c r="A1556" s="2">
        <v>45722.75</v>
      </c>
      <c r="B1556">
        <f>3758.51620242055*(3/4)</f>
        <v>2818.8871518154101</v>
      </c>
    </row>
    <row r="1557" spans="1:2" x14ac:dyDescent="0.3">
      <c r="A1557" s="2">
        <v>45722.791666666657</v>
      </c>
      <c r="B1557">
        <f>4198.6038090834*(3/4)</f>
        <v>3148.9528568125488</v>
      </c>
    </row>
    <row r="1558" spans="1:2" x14ac:dyDescent="0.3">
      <c r="A1558" s="2">
        <v>45722.833333333343</v>
      </c>
      <c r="B1558">
        <f>3793.25897637751*(3/4)</f>
        <v>2844.9442322831319</v>
      </c>
    </row>
    <row r="1559" spans="1:2" x14ac:dyDescent="0.3">
      <c r="A1559" s="2">
        <v>45722.875</v>
      </c>
      <c r="B1559">
        <f>4170.86635125705*(3/4)</f>
        <v>3128.1497634427897</v>
      </c>
    </row>
    <row r="1560" spans="1:2" x14ac:dyDescent="0.3">
      <c r="A1560" s="2">
        <v>45722.916666666657</v>
      </c>
      <c r="B1560">
        <f>3661.52311529309*(3/4)</f>
        <v>2746.1423364698167</v>
      </c>
    </row>
    <row r="1561" spans="1:2" x14ac:dyDescent="0.3">
      <c r="A1561" s="2">
        <v>45722.958333333343</v>
      </c>
      <c r="B1561">
        <f>4056.51919332619*(3/4)</f>
        <v>3042.3893949946419</v>
      </c>
    </row>
    <row r="1562" spans="1:2" x14ac:dyDescent="0.3">
      <c r="A1562" s="2">
        <v>45723</v>
      </c>
      <c r="B1562">
        <f>3687.24406765313*(3/4)</f>
        <v>2765.433050739849</v>
      </c>
    </row>
    <row r="1563" spans="1:2" x14ac:dyDescent="0.3">
      <c r="A1563" s="2">
        <v>45723.041666666657</v>
      </c>
      <c r="B1563">
        <f>3946.12623925654*(3/4)</f>
        <v>2959.5946794424049</v>
      </c>
    </row>
    <row r="1564" spans="1:2" x14ac:dyDescent="0.3">
      <c r="A1564" s="2">
        <v>45723.083333333343</v>
      </c>
      <c r="B1564">
        <f>3951.030095625*(3/4)</f>
        <v>2963.2725717187486</v>
      </c>
    </row>
    <row r="1565" spans="1:2" x14ac:dyDescent="0.3">
      <c r="A1565" s="2">
        <v>45723.125</v>
      </c>
      <c r="B1565">
        <f>3978.40853920997*(3/4)</f>
        <v>2983.8064044074754</v>
      </c>
    </row>
    <row r="1566" spans="1:2" x14ac:dyDescent="0.3">
      <c r="A1566" s="2">
        <v>45723.166666666657</v>
      </c>
      <c r="B1566">
        <f>3725.34657457451*(3/4)</f>
        <v>2794.0099309308853</v>
      </c>
    </row>
    <row r="1567" spans="1:2" x14ac:dyDescent="0.3">
      <c r="A1567" s="2">
        <v>45723.208333333343</v>
      </c>
      <c r="B1567">
        <f>3956.2273557763*(3/4)</f>
        <v>2967.1705168322214</v>
      </c>
    </row>
    <row r="1568" spans="1:2" x14ac:dyDescent="0.3">
      <c r="A1568" s="2">
        <v>45723.25</v>
      </c>
      <c r="B1568">
        <f>3617.02689383538*(3/4)</f>
        <v>2712.7701703765351</v>
      </c>
    </row>
    <row r="1569" spans="1:2" x14ac:dyDescent="0.3">
      <c r="A1569" s="2">
        <v>45723.291666666657</v>
      </c>
      <c r="B1569">
        <f>3848.47173043367*(3/4)</f>
        <v>2886.3537978252525</v>
      </c>
    </row>
    <row r="1570" spans="1:2" x14ac:dyDescent="0.3">
      <c r="A1570" s="2">
        <v>45723.333333333343</v>
      </c>
      <c r="B1570">
        <f>4236.49124922166*(3/4)</f>
        <v>3177.368436916247</v>
      </c>
    </row>
    <row r="1571" spans="1:2" x14ac:dyDescent="0.3">
      <c r="A1571" s="2">
        <v>45723.375</v>
      </c>
      <c r="B1571">
        <f>4059.64934808285*(3/4)</f>
        <v>3044.7370110621396</v>
      </c>
    </row>
    <row r="1572" spans="1:2" x14ac:dyDescent="0.3">
      <c r="A1572" s="2">
        <v>45723.416666666657</v>
      </c>
      <c r="B1572">
        <f>4026.17291818529*(3/4)</f>
        <v>3019.6296886389655</v>
      </c>
    </row>
    <row r="1573" spans="1:2" x14ac:dyDescent="0.3">
      <c r="A1573" s="2">
        <v>45723.458333333343</v>
      </c>
      <c r="B1573">
        <f>4056.12118529462*(3/4)</f>
        <v>3042.0908889709654</v>
      </c>
    </row>
    <row r="1574" spans="1:2" x14ac:dyDescent="0.3">
      <c r="A1574" s="2">
        <v>45723.5</v>
      </c>
      <c r="B1574">
        <f>4033.61105825748*(3/4)</f>
        <v>3025.2082936931129</v>
      </c>
    </row>
    <row r="1575" spans="1:2" x14ac:dyDescent="0.3">
      <c r="A1575" s="2">
        <v>45723.541666666657</v>
      </c>
      <c r="B1575">
        <f>3936.72167951399*(3/4)</f>
        <v>2952.5412596354909</v>
      </c>
    </row>
    <row r="1576" spans="1:2" x14ac:dyDescent="0.3">
      <c r="A1576" s="2">
        <v>45723.583333333343</v>
      </c>
      <c r="B1576">
        <f>3676.77692802771*(3/4)</f>
        <v>2757.5826960207833</v>
      </c>
    </row>
    <row r="1577" spans="1:2" x14ac:dyDescent="0.3">
      <c r="A1577" s="2">
        <v>45723.625</v>
      </c>
      <c r="B1577">
        <f>3987.73559724217*(3/4)</f>
        <v>2990.8016979316258</v>
      </c>
    </row>
    <row r="1578" spans="1:2" x14ac:dyDescent="0.3">
      <c r="A1578" s="2">
        <v>45723.666666666657</v>
      </c>
      <c r="B1578">
        <f>3972.20373257567*(3/4)</f>
        <v>2979.1527994317507</v>
      </c>
    </row>
    <row r="1579" spans="1:2" x14ac:dyDescent="0.3">
      <c r="A1579" s="2">
        <v>45723.708333333343</v>
      </c>
      <c r="B1579">
        <f>4213.12087255871*(3/4)</f>
        <v>3159.8406544190302</v>
      </c>
    </row>
    <row r="1580" spans="1:2" x14ac:dyDescent="0.3">
      <c r="A1580" s="2">
        <v>45723.75</v>
      </c>
      <c r="B1580">
        <f>3936.62061445701*(3/4)</f>
        <v>2952.4654608427536</v>
      </c>
    </row>
    <row r="1581" spans="1:2" x14ac:dyDescent="0.3">
      <c r="A1581" s="2">
        <v>45723.791666666657</v>
      </c>
      <c r="B1581">
        <f>4114.63659581715*(3/4)</f>
        <v>3085.977446862863</v>
      </c>
    </row>
    <row r="1582" spans="1:2" x14ac:dyDescent="0.3">
      <c r="A1582" s="2">
        <v>45723.833333333343</v>
      </c>
      <c r="B1582">
        <f>4151.35062586503*(3/4)</f>
        <v>3113.5129693987765</v>
      </c>
    </row>
    <row r="1583" spans="1:2" x14ac:dyDescent="0.3">
      <c r="A1583" s="2">
        <v>45723.875</v>
      </c>
      <c r="B1583">
        <f>4043.90200331051*(3/4)</f>
        <v>3032.9265024828846</v>
      </c>
    </row>
    <row r="1584" spans="1:2" x14ac:dyDescent="0.3">
      <c r="A1584" s="2">
        <v>45723.916666666657</v>
      </c>
      <c r="B1584">
        <f>3961.98816046312*(3/4)</f>
        <v>2971.4911203473362</v>
      </c>
    </row>
    <row r="1585" spans="1:2" x14ac:dyDescent="0.3">
      <c r="A1585" s="2">
        <v>45723.958333333343</v>
      </c>
      <c r="B1585">
        <f>3884.89067379103*(3/4)</f>
        <v>2913.6680053432688</v>
      </c>
    </row>
    <row r="1586" spans="1:2" x14ac:dyDescent="0.3">
      <c r="A1586" s="2">
        <v>45724</v>
      </c>
      <c r="B1586">
        <f>4014.81323986209*(3/4)</f>
        <v>3011.1099298965682</v>
      </c>
    </row>
    <row r="1587" spans="1:2" x14ac:dyDescent="0.3">
      <c r="A1587" s="2">
        <v>45724.041666666657</v>
      </c>
      <c r="B1587">
        <f>3996.22645703416*(3/4)</f>
        <v>2997.1698427756201</v>
      </c>
    </row>
    <row r="1588" spans="1:2" x14ac:dyDescent="0.3">
      <c r="A1588" s="2">
        <v>45724.083333333343</v>
      </c>
      <c r="B1588">
        <f>3836.25448326831*(3/4)</f>
        <v>2877.1908624512339</v>
      </c>
    </row>
    <row r="1589" spans="1:2" x14ac:dyDescent="0.3">
      <c r="A1589" s="2">
        <v>45724.125</v>
      </c>
      <c r="B1589">
        <f>3728.29980729552*(3/4)</f>
        <v>2796.2248554716361</v>
      </c>
    </row>
    <row r="1590" spans="1:2" x14ac:dyDescent="0.3">
      <c r="A1590" s="2">
        <v>45724.166666666657</v>
      </c>
      <c r="B1590">
        <f>4298.16666774826*(3/4)</f>
        <v>3223.6250008111983</v>
      </c>
    </row>
    <row r="1591" spans="1:2" x14ac:dyDescent="0.3">
      <c r="A1591" s="2">
        <v>45724.208333333343</v>
      </c>
      <c r="B1591">
        <f>3884.48141530666*(3/4)</f>
        <v>2913.361061479995</v>
      </c>
    </row>
    <row r="1592" spans="1:2" x14ac:dyDescent="0.3">
      <c r="A1592" s="2">
        <v>45724.25</v>
      </c>
      <c r="B1592">
        <f>3876.28090899268*(3/4)</f>
        <v>2907.2106817445106</v>
      </c>
    </row>
    <row r="1593" spans="1:2" x14ac:dyDescent="0.3">
      <c r="A1593" s="2">
        <v>45724.291666666657</v>
      </c>
      <c r="B1593">
        <f>3724.53525484659*(3/4)</f>
        <v>2793.4014411349408</v>
      </c>
    </row>
    <row r="1594" spans="1:2" x14ac:dyDescent="0.3">
      <c r="A1594" s="2">
        <v>45724.333333333343</v>
      </c>
      <c r="B1594">
        <f>3981.35879290444*(3/4)</f>
        <v>2986.0190946783287</v>
      </c>
    </row>
    <row r="1595" spans="1:2" x14ac:dyDescent="0.3">
      <c r="A1595" s="2">
        <v>45724.375</v>
      </c>
      <c r="B1595">
        <f>3956.3140127887*(3/4)</f>
        <v>2967.2355095915218</v>
      </c>
    </row>
    <row r="1596" spans="1:2" x14ac:dyDescent="0.3">
      <c r="A1596" s="2">
        <v>45724.416666666657</v>
      </c>
      <c r="B1596">
        <f>3835.89736297515*(3/4)</f>
        <v>2876.9230222313595</v>
      </c>
    </row>
    <row r="1597" spans="1:2" x14ac:dyDescent="0.3">
      <c r="A1597" s="2">
        <v>45724.458333333343</v>
      </c>
      <c r="B1597">
        <f>4000.28717806254*(3/4)</f>
        <v>3000.2153835469053</v>
      </c>
    </row>
    <row r="1598" spans="1:2" x14ac:dyDescent="0.3">
      <c r="A1598" s="2">
        <v>45724.5</v>
      </c>
      <c r="B1598">
        <f>4217.28912614833*(3/4)</f>
        <v>3162.9668446112491</v>
      </c>
    </row>
    <row r="1599" spans="1:2" x14ac:dyDescent="0.3">
      <c r="A1599" s="2">
        <v>45724.541666666657</v>
      </c>
      <c r="B1599">
        <f>3818.51372855365*(3/4)</f>
        <v>2863.8852964152375</v>
      </c>
    </row>
    <row r="1600" spans="1:2" x14ac:dyDescent="0.3">
      <c r="A1600" s="2">
        <v>45724.583333333343</v>
      </c>
      <c r="B1600">
        <f>3805.65878075679*(3/4)</f>
        <v>2854.2440855675959</v>
      </c>
    </row>
    <row r="1601" spans="1:2" x14ac:dyDescent="0.3">
      <c r="A1601" s="2">
        <v>45724.625</v>
      </c>
      <c r="B1601">
        <f>3763.43801108314*(3/4)</f>
        <v>2822.578508312356</v>
      </c>
    </row>
    <row r="1602" spans="1:2" x14ac:dyDescent="0.3">
      <c r="A1602" s="2">
        <v>45724.666666666657</v>
      </c>
      <c r="B1602">
        <f>4036.08652534607*(3/4)</f>
        <v>3027.0648940095516</v>
      </c>
    </row>
    <row r="1603" spans="1:2" x14ac:dyDescent="0.3">
      <c r="A1603" s="2">
        <v>45724.708333333343</v>
      </c>
      <c r="B1603">
        <f>4112.54398322644*(3/4)</f>
        <v>3084.4079874198269</v>
      </c>
    </row>
    <row r="1604" spans="1:2" x14ac:dyDescent="0.3">
      <c r="A1604" s="2">
        <v>45724.75</v>
      </c>
      <c r="B1604">
        <f>4087.2558377023*(3/4)</f>
        <v>3065.4418782767225</v>
      </c>
    </row>
    <row r="1605" spans="1:2" x14ac:dyDescent="0.3">
      <c r="A1605" s="2">
        <v>45724.791666666657</v>
      </c>
      <c r="B1605">
        <f>4015.06210235319*(3/4)</f>
        <v>3011.2965767648916</v>
      </c>
    </row>
    <row r="1606" spans="1:2" x14ac:dyDescent="0.3">
      <c r="A1606" s="2">
        <v>45724.833333333343</v>
      </c>
      <c r="B1606">
        <f>4014.71736944031*(3/4)</f>
        <v>3011.0380270802348</v>
      </c>
    </row>
    <row r="1607" spans="1:2" x14ac:dyDescent="0.3">
      <c r="A1607" s="2">
        <v>45724.875</v>
      </c>
      <c r="B1607">
        <f>4157.68399643692*(3/4)</f>
        <v>3118.2629973276867</v>
      </c>
    </row>
    <row r="1608" spans="1:2" x14ac:dyDescent="0.3">
      <c r="A1608" s="2">
        <v>45724.916666666657</v>
      </c>
      <c r="B1608">
        <f>3653.73018371924*(3/4)</f>
        <v>2740.2976377894329</v>
      </c>
    </row>
    <row r="1609" spans="1:2" x14ac:dyDescent="0.3">
      <c r="A1609" s="2">
        <v>45724.958333333343</v>
      </c>
      <c r="B1609">
        <f>3966.15046610863*(3/4)</f>
        <v>2974.6128495814746</v>
      </c>
    </row>
    <row r="1610" spans="1:2" x14ac:dyDescent="0.3">
      <c r="A1610" s="2">
        <v>45725</v>
      </c>
      <c r="B1610">
        <f>3917.60358016941*(3/4)</f>
        <v>2938.2026851270557</v>
      </c>
    </row>
    <row r="1611" spans="1:2" x14ac:dyDescent="0.3">
      <c r="A1611" s="2">
        <v>45725.041666666657</v>
      </c>
      <c r="B1611">
        <f>3958.30735045995*(3/4)</f>
        <v>2968.7305128449589</v>
      </c>
    </row>
    <row r="1612" spans="1:2" x14ac:dyDescent="0.3">
      <c r="A1612" s="2">
        <v>45725.083333333343</v>
      </c>
      <c r="B1612">
        <f>3635.57202963498*(3/4)</f>
        <v>2726.6790222262357</v>
      </c>
    </row>
    <row r="1613" spans="1:2" x14ac:dyDescent="0.3">
      <c r="A1613" s="2">
        <v>45725.125</v>
      </c>
      <c r="B1613">
        <f>3837.25774078429*(3/4)</f>
        <v>2877.9433055882191</v>
      </c>
    </row>
    <row r="1614" spans="1:2" x14ac:dyDescent="0.3">
      <c r="A1614" s="2">
        <v>45725.166666666657</v>
      </c>
      <c r="B1614">
        <f>4417.01742235815*(3/4)</f>
        <v>3312.763066768609</v>
      </c>
    </row>
    <row r="1615" spans="1:2" x14ac:dyDescent="0.3">
      <c r="A1615" s="2">
        <v>45725.208333333343</v>
      </c>
      <c r="B1615">
        <f>3865.28945508876*(3/4)</f>
        <v>2898.9670913165692</v>
      </c>
    </row>
    <row r="1616" spans="1:2" x14ac:dyDescent="0.3">
      <c r="A1616" s="2">
        <v>45725.25</v>
      </c>
      <c r="B1616">
        <f>3733.44836447732*(3/4)</f>
        <v>2800.0862733579906</v>
      </c>
    </row>
    <row r="1617" spans="1:2" x14ac:dyDescent="0.3">
      <c r="A1617" s="2">
        <v>45725.291666666657</v>
      </c>
      <c r="B1617">
        <f>4063.26615343268*(3/4)</f>
        <v>3047.4496150745117</v>
      </c>
    </row>
    <row r="1618" spans="1:2" x14ac:dyDescent="0.3">
      <c r="A1618" s="2">
        <v>45725.333333333343</v>
      </c>
      <c r="B1618">
        <f>2966.56220410859*(3/4)</f>
        <v>2224.9216530814456</v>
      </c>
    </row>
    <row r="1619" spans="1:2" x14ac:dyDescent="0.3">
      <c r="A1619" s="2">
        <v>45725.375</v>
      </c>
      <c r="B1619">
        <f>3118.7805103146*(3/4)</f>
        <v>2339.0853827359529</v>
      </c>
    </row>
    <row r="1620" spans="1:2" x14ac:dyDescent="0.3">
      <c r="A1620" s="2">
        <v>45725.416666666657</v>
      </c>
      <c r="B1620">
        <f>2994.88512624735*(3/4)</f>
        <v>2246.1638446855154</v>
      </c>
    </row>
    <row r="1621" spans="1:2" x14ac:dyDescent="0.3">
      <c r="A1621" s="2">
        <v>45725.458333333343</v>
      </c>
      <c r="B1621">
        <f>3301.40823166355*(3/4)</f>
        <v>2476.0561737476655</v>
      </c>
    </row>
    <row r="1622" spans="1:2" x14ac:dyDescent="0.3">
      <c r="A1622" s="2">
        <v>45725.5</v>
      </c>
      <c r="B1622">
        <f>3227.06775464013*(3/4)</f>
        <v>2420.3008159800966</v>
      </c>
    </row>
    <row r="1623" spans="1:2" x14ac:dyDescent="0.3">
      <c r="A1623" s="2">
        <v>45725.541666666657</v>
      </c>
      <c r="B1623">
        <f>3416.40184834755*(3/4)</f>
        <v>2562.301386260664</v>
      </c>
    </row>
    <row r="1624" spans="1:2" x14ac:dyDescent="0.3">
      <c r="A1624" s="2">
        <v>45725.583333333343</v>
      </c>
      <c r="B1624">
        <f>2857.85852558604*(3/4)</f>
        <v>2143.3938941895294</v>
      </c>
    </row>
    <row r="1625" spans="1:2" x14ac:dyDescent="0.3">
      <c r="A1625" s="2">
        <v>45725.625</v>
      </c>
      <c r="B1625">
        <f>3310.97210935744*(3/4)</f>
        <v>2483.2290820180815</v>
      </c>
    </row>
    <row r="1626" spans="1:2" x14ac:dyDescent="0.3">
      <c r="A1626" s="2">
        <v>45725.666666666657</v>
      </c>
      <c r="B1626">
        <f>3198.33819224089*(3/4)</f>
        <v>2398.7536441806706</v>
      </c>
    </row>
    <row r="1627" spans="1:2" x14ac:dyDescent="0.3">
      <c r="A1627" s="2">
        <v>45725.708333333343</v>
      </c>
      <c r="B1627">
        <f>4102.33404108896*(3/4)</f>
        <v>3076.7505308167229</v>
      </c>
    </row>
    <row r="1628" spans="1:2" x14ac:dyDescent="0.3">
      <c r="A1628" s="2">
        <v>45725.75</v>
      </c>
      <c r="B1628">
        <f>4184.276823815*(3/4)</f>
        <v>3138.2076178612488</v>
      </c>
    </row>
    <row r="1629" spans="1:2" x14ac:dyDescent="0.3">
      <c r="A1629" s="2">
        <v>45725.791666666657</v>
      </c>
      <c r="B1629">
        <f>3989.43389839978*(3/4)</f>
        <v>2992.0754237998358</v>
      </c>
    </row>
    <row r="1630" spans="1:2" x14ac:dyDescent="0.3">
      <c r="A1630" s="2">
        <v>45725.833333333343</v>
      </c>
      <c r="B1630">
        <f>3999.39673242608*(3/4)</f>
        <v>2999.5475493195627</v>
      </c>
    </row>
    <row r="1631" spans="1:2" x14ac:dyDescent="0.3">
      <c r="A1631" s="2">
        <v>45725.875</v>
      </c>
      <c r="B1631">
        <f>3971.29112048795*(3/4)</f>
        <v>2978.4683403659615</v>
      </c>
    </row>
    <row r="1632" spans="1:2" x14ac:dyDescent="0.3">
      <c r="A1632" s="2">
        <v>45725.916666666657</v>
      </c>
      <c r="B1632">
        <f>3649.99604530493*(3/4)</f>
        <v>2737.4970339786983</v>
      </c>
    </row>
    <row r="1633" spans="1:2" x14ac:dyDescent="0.3">
      <c r="A1633" s="2">
        <v>45725.958333333343</v>
      </c>
      <c r="B1633">
        <f>3973.59820227516*(3/4)</f>
        <v>2980.1986517063715</v>
      </c>
    </row>
    <row r="1634" spans="1:2" x14ac:dyDescent="0.3">
      <c r="A1634" s="2">
        <v>45726</v>
      </c>
      <c r="B1634">
        <f>4157.32318120204*(3/4)</f>
        <v>3117.9923859015271</v>
      </c>
    </row>
    <row r="1635" spans="1:2" x14ac:dyDescent="0.3">
      <c r="A1635" s="2">
        <v>45726.041666666657</v>
      </c>
      <c r="B1635">
        <f>3837.79515236628*(3/4)</f>
        <v>2878.3463642747124</v>
      </c>
    </row>
    <row r="1636" spans="1:2" x14ac:dyDescent="0.3">
      <c r="A1636" s="2">
        <v>45726.083333333343</v>
      </c>
      <c r="B1636">
        <f>3810.03790737666*(3/4)</f>
        <v>2857.528430532494</v>
      </c>
    </row>
    <row r="1637" spans="1:2" x14ac:dyDescent="0.3">
      <c r="A1637" s="2">
        <v>45726.125</v>
      </c>
      <c r="B1637">
        <f>3898.43504017042*(3/4)</f>
        <v>2923.8262801278115</v>
      </c>
    </row>
    <row r="1638" spans="1:2" x14ac:dyDescent="0.3">
      <c r="A1638" s="2">
        <v>45726.166666666657</v>
      </c>
      <c r="B1638">
        <f>3797.14967668967*(3/4)</f>
        <v>2847.8622575172549</v>
      </c>
    </row>
    <row r="1639" spans="1:2" x14ac:dyDescent="0.3">
      <c r="A1639" s="2">
        <v>45726.208333333343</v>
      </c>
      <c r="B1639">
        <f>3962.83879497413*(3/4)</f>
        <v>2972.1290962306011</v>
      </c>
    </row>
    <row r="1640" spans="1:2" x14ac:dyDescent="0.3">
      <c r="A1640" s="2">
        <v>45726.25</v>
      </c>
      <c r="B1640">
        <f>3800.78762556884*(3/4)</f>
        <v>2850.5907191766282</v>
      </c>
    </row>
    <row r="1641" spans="1:2" x14ac:dyDescent="0.3">
      <c r="A1641" s="2">
        <v>45726.291666666657</v>
      </c>
      <c r="B1641">
        <f>4006.41672930522*(3/4)</f>
        <v>3004.8125469789143</v>
      </c>
    </row>
    <row r="1642" spans="1:2" x14ac:dyDescent="0.3">
      <c r="A1642" s="2">
        <v>45726.333333333343</v>
      </c>
      <c r="B1642">
        <f>4086.79302688018*(3/4)</f>
        <v>3065.0947701601322</v>
      </c>
    </row>
    <row r="1643" spans="1:2" x14ac:dyDescent="0.3">
      <c r="A1643" s="2">
        <v>45726.375</v>
      </c>
      <c r="B1643">
        <f>3975.3730102935*(3/4)</f>
        <v>2981.5297577201259</v>
      </c>
    </row>
    <row r="1644" spans="1:2" x14ac:dyDescent="0.3">
      <c r="A1644" s="2">
        <v>45726.416666666657</v>
      </c>
      <c r="B1644">
        <f>4212.76974664544*(3/4)</f>
        <v>3159.577309984079</v>
      </c>
    </row>
    <row r="1645" spans="1:2" x14ac:dyDescent="0.3">
      <c r="A1645" s="2">
        <v>45726.458333333343</v>
      </c>
      <c r="B1645">
        <f>3984.27123762327*(3/4)</f>
        <v>2988.2034282174536</v>
      </c>
    </row>
    <row r="1646" spans="1:2" x14ac:dyDescent="0.3">
      <c r="A1646" s="2">
        <v>45726.5</v>
      </c>
      <c r="B1646">
        <f>3969.37562186007*(3/4)</f>
        <v>2977.0317163950517</v>
      </c>
    </row>
    <row r="1647" spans="1:2" x14ac:dyDescent="0.3">
      <c r="A1647" s="2">
        <v>45726.541666666657</v>
      </c>
      <c r="B1647">
        <f>3996.60450517627*(3/4)</f>
        <v>2997.4533788822009</v>
      </c>
    </row>
    <row r="1648" spans="1:2" x14ac:dyDescent="0.3">
      <c r="A1648" s="2">
        <v>45726.583333333343</v>
      </c>
      <c r="B1648">
        <f>3551.03486196768*(3/4)</f>
        <v>2663.2761464757577</v>
      </c>
    </row>
    <row r="1649" spans="1:2" x14ac:dyDescent="0.3">
      <c r="A1649" s="2">
        <v>45726.625</v>
      </c>
      <c r="B1649">
        <f>4179.89151006407*(3/4)</f>
        <v>3134.9186325480523</v>
      </c>
    </row>
    <row r="1650" spans="1:2" x14ac:dyDescent="0.3">
      <c r="A1650" s="2">
        <v>45726.666666666657</v>
      </c>
      <c r="B1650">
        <f>4282.03596112739*(3/4)</f>
        <v>3211.5269708455389</v>
      </c>
    </row>
    <row r="1651" spans="1:2" x14ac:dyDescent="0.3">
      <c r="A1651" s="2">
        <v>45726.708333333343</v>
      </c>
      <c r="B1651">
        <f>4036.68916840172*(3/4)</f>
        <v>3027.5168763012871</v>
      </c>
    </row>
    <row r="1652" spans="1:2" x14ac:dyDescent="0.3">
      <c r="A1652" s="2">
        <v>45726.75</v>
      </c>
      <c r="B1652">
        <f>4064.90165037411*(3/4)</f>
        <v>3048.6762377805794</v>
      </c>
    </row>
    <row r="1653" spans="1:2" x14ac:dyDescent="0.3">
      <c r="A1653" s="2">
        <v>45726.791666666657</v>
      </c>
      <c r="B1653">
        <f>3871.63681869873*(3/4)</f>
        <v>2903.7276140240501</v>
      </c>
    </row>
    <row r="1654" spans="1:2" x14ac:dyDescent="0.3">
      <c r="A1654" s="2">
        <v>45726.833333333343</v>
      </c>
      <c r="B1654">
        <f>3938.69839694593*(3/4)</f>
        <v>2954.0237977094453</v>
      </c>
    </row>
    <row r="1655" spans="1:2" x14ac:dyDescent="0.3">
      <c r="A1655" s="2">
        <v>45726.875</v>
      </c>
      <c r="B1655">
        <f>3733.05960883929*(3/4)</f>
        <v>2799.7947066294669</v>
      </c>
    </row>
    <row r="1656" spans="1:2" x14ac:dyDescent="0.3">
      <c r="A1656" s="2">
        <v>45726.916666666657</v>
      </c>
      <c r="B1656">
        <f>3637.74399793773*(3/4)</f>
        <v>2728.3079984532983</v>
      </c>
    </row>
    <row r="1657" spans="1:2" x14ac:dyDescent="0.3">
      <c r="A1657" s="2">
        <v>45726.958333333343</v>
      </c>
      <c r="B1657">
        <f>4062.8404191339*(3/4)</f>
        <v>3047.1303143504265</v>
      </c>
    </row>
    <row r="1658" spans="1:2" x14ac:dyDescent="0.3">
      <c r="A1658" s="2">
        <v>45727</v>
      </c>
      <c r="B1658">
        <f>3962.10124011803*(3/4)</f>
        <v>2971.5759300885256</v>
      </c>
    </row>
    <row r="1659" spans="1:2" x14ac:dyDescent="0.3">
      <c r="A1659" s="2">
        <v>45727.041666666657</v>
      </c>
      <c r="B1659">
        <f>3787.29092279342*(3/4)</f>
        <v>2840.4681920950657</v>
      </c>
    </row>
    <row r="1660" spans="1:2" x14ac:dyDescent="0.3">
      <c r="A1660" s="2">
        <v>45727.083333333343</v>
      </c>
      <c r="B1660">
        <f>3854.81453868122*(3/4)</f>
        <v>2891.1109040109136</v>
      </c>
    </row>
    <row r="1661" spans="1:2" x14ac:dyDescent="0.3">
      <c r="A1661" s="2">
        <v>45727.125</v>
      </c>
      <c r="B1661">
        <f>4003.08027798578*(3/4)</f>
        <v>3002.310208489338</v>
      </c>
    </row>
    <row r="1662" spans="1:2" x14ac:dyDescent="0.3">
      <c r="A1662" s="2">
        <v>45727.166666666657</v>
      </c>
      <c r="B1662">
        <f>4041.72481866024*(3/4)</f>
        <v>3031.2936139951807</v>
      </c>
    </row>
    <row r="1663" spans="1:2" x14ac:dyDescent="0.3">
      <c r="A1663" s="2">
        <v>45727.208333333343</v>
      </c>
      <c r="B1663">
        <f>3821.76254309795*(3/4)</f>
        <v>2866.3219073234604</v>
      </c>
    </row>
    <row r="1664" spans="1:2" x14ac:dyDescent="0.3">
      <c r="A1664" s="2">
        <v>45727.25</v>
      </c>
      <c r="B1664">
        <f>3842.50407074184*(3/4)</f>
        <v>2881.8780530563772</v>
      </c>
    </row>
    <row r="1665" spans="1:2" x14ac:dyDescent="0.3">
      <c r="A1665" s="2">
        <v>45727.291666666657</v>
      </c>
      <c r="B1665">
        <f>3952.89820820552*(3/4)</f>
        <v>2964.6736561541393</v>
      </c>
    </row>
    <row r="1666" spans="1:2" x14ac:dyDescent="0.3">
      <c r="A1666" s="2">
        <v>45727.333333333343</v>
      </c>
      <c r="B1666">
        <f>3840.86245498814*(3/4)</f>
        <v>2880.6468412411064</v>
      </c>
    </row>
    <row r="1667" spans="1:2" x14ac:dyDescent="0.3">
      <c r="A1667" s="2">
        <v>45727.375</v>
      </c>
      <c r="B1667">
        <f>4075.71845582481*(3/4)</f>
        <v>3056.788841868608</v>
      </c>
    </row>
    <row r="1668" spans="1:2" x14ac:dyDescent="0.3">
      <c r="A1668" s="2">
        <v>45727.416666666657</v>
      </c>
      <c r="B1668">
        <f>3937.47807800474*(3/4)</f>
        <v>2953.1085585035571</v>
      </c>
    </row>
    <row r="1669" spans="1:2" x14ac:dyDescent="0.3">
      <c r="A1669" s="2">
        <v>45727.458333333343</v>
      </c>
      <c r="B1669">
        <f>4066.80353805494*(3/4)</f>
        <v>3050.1026535412047</v>
      </c>
    </row>
    <row r="1670" spans="1:2" x14ac:dyDescent="0.3">
      <c r="A1670" s="2">
        <v>45727.5</v>
      </c>
      <c r="B1670">
        <f>3929.37093010495*(3/4)</f>
        <v>2947.0281975787116</v>
      </c>
    </row>
    <row r="1671" spans="1:2" x14ac:dyDescent="0.3">
      <c r="A1671" s="2">
        <v>45727.541666666657</v>
      </c>
      <c r="B1671">
        <f>3969.56433834747*(3/4)</f>
        <v>2977.1732537606017</v>
      </c>
    </row>
    <row r="1672" spans="1:2" x14ac:dyDescent="0.3">
      <c r="A1672" s="2">
        <v>45727.583333333343</v>
      </c>
      <c r="B1672">
        <f>3737.07366662576*(3/4)</f>
        <v>2802.8052499693194</v>
      </c>
    </row>
    <row r="1673" spans="1:2" x14ac:dyDescent="0.3">
      <c r="A1673" s="2">
        <v>45727.625</v>
      </c>
      <c r="B1673">
        <f>4137.74063728875*(3/4)</f>
        <v>3103.3054779665599</v>
      </c>
    </row>
    <row r="1674" spans="1:2" x14ac:dyDescent="0.3">
      <c r="A1674" s="2">
        <v>45727.666666666657</v>
      </c>
      <c r="B1674">
        <f>4113.59334530311*(3/4)</f>
        <v>3085.1950089773354</v>
      </c>
    </row>
    <row r="1675" spans="1:2" x14ac:dyDescent="0.3">
      <c r="A1675" s="2">
        <v>45727.708333333343</v>
      </c>
      <c r="B1675">
        <f>3982.52714289258*(3/4)</f>
        <v>2986.8953571694365</v>
      </c>
    </row>
    <row r="1676" spans="1:2" x14ac:dyDescent="0.3">
      <c r="A1676" s="2">
        <v>45727.75</v>
      </c>
      <c r="B1676">
        <f>3857.26611020916*(3/4)</f>
        <v>2892.9495826568691</v>
      </c>
    </row>
    <row r="1677" spans="1:2" x14ac:dyDescent="0.3">
      <c r="A1677" s="2">
        <v>45727.791666666657</v>
      </c>
      <c r="B1677">
        <f>3923.46078945885*(3/4)</f>
        <v>2942.595592094141</v>
      </c>
    </row>
    <row r="1678" spans="1:2" x14ac:dyDescent="0.3">
      <c r="A1678" s="2">
        <v>45727.833333333343</v>
      </c>
      <c r="B1678">
        <f>4161.29350676079*(3/4)</f>
        <v>3120.9701300705888</v>
      </c>
    </row>
    <row r="1679" spans="1:2" x14ac:dyDescent="0.3">
      <c r="A1679" s="2">
        <v>45727.875</v>
      </c>
      <c r="B1679">
        <f>4025.7493930611*(3/4)</f>
        <v>3019.3120447958245</v>
      </c>
    </row>
    <row r="1680" spans="1:2" x14ac:dyDescent="0.3">
      <c r="A1680" s="2">
        <v>45727.916666666657</v>
      </c>
      <c r="B1680">
        <f>3610.81722547142*(3/4)</f>
        <v>2708.1129191035652</v>
      </c>
    </row>
    <row r="1681" spans="1:2" x14ac:dyDescent="0.3">
      <c r="A1681" s="2">
        <v>45727.958333333343</v>
      </c>
      <c r="B1681">
        <f>3685.89139762291*(3/4)</f>
        <v>2764.4185482171788</v>
      </c>
    </row>
    <row r="1682" spans="1:2" x14ac:dyDescent="0.3">
      <c r="A1682" s="2">
        <v>45728</v>
      </c>
      <c r="B1682">
        <f>4211.01275829019*(3/4)</f>
        <v>3158.2595687176417</v>
      </c>
    </row>
    <row r="1683" spans="1:2" x14ac:dyDescent="0.3">
      <c r="A1683" s="2">
        <v>45728.041666666657</v>
      </c>
      <c r="B1683">
        <f>3972.19104727999*(3/4)</f>
        <v>2979.1432854599893</v>
      </c>
    </row>
    <row r="1684" spans="1:2" x14ac:dyDescent="0.3">
      <c r="A1684" s="2">
        <v>45728.083333333343</v>
      </c>
      <c r="B1684">
        <f>3908.43973003649*(3/4)</f>
        <v>2931.3297975273667</v>
      </c>
    </row>
    <row r="1685" spans="1:2" x14ac:dyDescent="0.3">
      <c r="A1685" s="2">
        <v>45728.125</v>
      </c>
      <c r="B1685">
        <f>3817.70394375771*(3/4)</f>
        <v>2863.2779578182854</v>
      </c>
    </row>
    <row r="1686" spans="1:2" x14ac:dyDescent="0.3">
      <c r="A1686" s="2">
        <v>45728.166666666657</v>
      </c>
      <c r="B1686">
        <f>3935.26207323885*(3/4)</f>
        <v>2951.4465549291408</v>
      </c>
    </row>
    <row r="1687" spans="1:2" x14ac:dyDescent="0.3">
      <c r="A1687" s="2">
        <v>45728.208333333343</v>
      </c>
      <c r="B1687">
        <f>3855.0363802045*(3/4)</f>
        <v>2891.2772851533718</v>
      </c>
    </row>
    <row r="1688" spans="1:2" x14ac:dyDescent="0.3">
      <c r="A1688" s="2">
        <v>45728.25</v>
      </c>
      <c r="B1688">
        <f>3998.95537510531*(3/4)</f>
        <v>2999.2165313289806</v>
      </c>
    </row>
    <row r="1689" spans="1:2" x14ac:dyDescent="0.3">
      <c r="A1689" s="2">
        <v>45728.291666666657</v>
      </c>
      <c r="B1689">
        <f>3790.94365274705*(3/4)</f>
        <v>2843.2077395602873</v>
      </c>
    </row>
    <row r="1690" spans="1:2" x14ac:dyDescent="0.3">
      <c r="A1690" s="2">
        <v>45728.333333333343</v>
      </c>
      <c r="B1690">
        <f>3795.3490141527*(3/4)</f>
        <v>2846.5117606145286</v>
      </c>
    </row>
    <row r="1691" spans="1:2" x14ac:dyDescent="0.3">
      <c r="A1691" s="2">
        <v>45728.375</v>
      </c>
      <c r="B1691">
        <f>3889.86391011301*(3/4)</f>
        <v>2917.397932584759</v>
      </c>
    </row>
    <row r="1692" spans="1:2" x14ac:dyDescent="0.3">
      <c r="A1692" s="2">
        <v>45728.416666666657</v>
      </c>
      <c r="B1692">
        <f>3946.89696393769*(3/4)</f>
        <v>2960.1727229532689</v>
      </c>
    </row>
    <row r="1693" spans="1:2" x14ac:dyDescent="0.3">
      <c r="A1693" s="2">
        <v>45728.458333333343</v>
      </c>
      <c r="B1693">
        <f>3986.04160672837*(3/4)</f>
        <v>2989.5312050462812</v>
      </c>
    </row>
    <row r="1694" spans="1:2" x14ac:dyDescent="0.3">
      <c r="A1694" s="2">
        <v>45728.5</v>
      </c>
      <c r="B1694">
        <f>4405.43006328567*(3/4)</f>
        <v>3304.0725474642559</v>
      </c>
    </row>
    <row r="1695" spans="1:2" x14ac:dyDescent="0.3">
      <c r="A1695" s="2">
        <v>45728.541666666657</v>
      </c>
      <c r="B1695">
        <f>3986.22864077536*(3/4)</f>
        <v>2989.6714805815177</v>
      </c>
    </row>
    <row r="1696" spans="1:2" x14ac:dyDescent="0.3">
      <c r="A1696" s="2">
        <v>45728.583333333343</v>
      </c>
      <c r="B1696">
        <f>3850.3000997877*(3/4)</f>
        <v>2887.7250748407728</v>
      </c>
    </row>
    <row r="1697" spans="1:2" x14ac:dyDescent="0.3">
      <c r="A1697" s="2">
        <v>45728.625</v>
      </c>
      <c r="B1697">
        <f>4272.05273628318*(3/4)</f>
        <v>3204.0395522123827</v>
      </c>
    </row>
    <row r="1698" spans="1:2" x14ac:dyDescent="0.3">
      <c r="A1698" s="2">
        <v>45728.666666666657</v>
      </c>
      <c r="B1698">
        <f>4342.31860066196*(3/4)</f>
        <v>3256.7389504964731</v>
      </c>
    </row>
    <row r="1699" spans="1:2" x14ac:dyDescent="0.3">
      <c r="A1699" s="2">
        <v>45728.708333333343</v>
      </c>
      <c r="B1699">
        <f>3924.24822325833*(3/4)</f>
        <v>2943.1861674437491</v>
      </c>
    </row>
    <row r="1700" spans="1:2" x14ac:dyDescent="0.3">
      <c r="A1700" s="2">
        <v>45728.75</v>
      </c>
      <c r="B1700">
        <f>3865.88822792427*(3/4)</f>
        <v>2899.4161709432001</v>
      </c>
    </row>
    <row r="1701" spans="1:2" x14ac:dyDescent="0.3">
      <c r="A1701" s="2">
        <v>45728.791666666657</v>
      </c>
      <c r="B1701">
        <f>4000.90957712568*(3/4)</f>
        <v>3000.6821828442571</v>
      </c>
    </row>
    <row r="1702" spans="1:2" x14ac:dyDescent="0.3">
      <c r="A1702" s="2">
        <v>45728.833333333343</v>
      </c>
      <c r="B1702">
        <f>4190.27267414777*(3/4)</f>
        <v>3142.7045056108263</v>
      </c>
    </row>
    <row r="1703" spans="1:2" x14ac:dyDescent="0.3">
      <c r="A1703" s="2">
        <v>45728.875</v>
      </c>
      <c r="B1703">
        <f>4224.1432257265*(3/4)</f>
        <v>3168.1074192948763</v>
      </c>
    </row>
    <row r="1704" spans="1:2" x14ac:dyDescent="0.3">
      <c r="A1704" s="2">
        <v>45728.916666666657</v>
      </c>
      <c r="B1704">
        <f>3769.87120791673*(3/4)</f>
        <v>2827.4034059375499</v>
      </c>
    </row>
    <row r="1705" spans="1:2" x14ac:dyDescent="0.3">
      <c r="A1705" s="2">
        <v>45728.958333333343</v>
      </c>
      <c r="B1705">
        <f>4030.08069092456*(3/4)</f>
        <v>3022.5605181934225</v>
      </c>
    </row>
    <row r="1706" spans="1:2" x14ac:dyDescent="0.3">
      <c r="A1706" s="2">
        <v>45729</v>
      </c>
      <c r="B1706">
        <f>4024.41989592217*(3/4)</f>
        <v>3018.31492194163</v>
      </c>
    </row>
    <row r="1707" spans="1:2" x14ac:dyDescent="0.3">
      <c r="A1707" s="2">
        <v>45729.041666666657</v>
      </c>
      <c r="B1707">
        <f>3984.95683000075*(3/4)</f>
        <v>2988.7176225005596</v>
      </c>
    </row>
    <row r="1708" spans="1:2" x14ac:dyDescent="0.3">
      <c r="A1708" s="2">
        <v>45729.083333333343</v>
      </c>
      <c r="B1708">
        <f>4041.09187431074*(3/4)</f>
        <v>3030.8189057330583</v>
      </c>
    </row>
    <row r="1709" spans="1:2" x14ac:dyDescent="0.3">
      <c r="A1709" s="2">
        <v>45729.125</v>
      </c>
      <c r="B1709">
        <f>3649.12529833612*(3/4)</f>
        <v>2736.8439737520894</v>
      </c>
    </row>
    <row r="1710" spans="1:2" x14ac:dyDescent="0.3">
      <c r="A1710" s="2">
        <v>45729.166666666657</v>
      </c>
      <c r="B1710">
        <f>3884.6737543587*(3/4)</f>
        <v>2913.5053157690272</v>
      </c>
    </row>
    <row r="1711" spans="1:2" x14ac:dyDescent="0.3">
      <c r="A1711" s="2">
        <v>45729.208333333343</v>
      </c>
      <c r="B1711">
        <f>3677.50745041217*(3/4)</f>
        <v>2758.1305878091266</v>
      </c>
    </row>
    <row r="1712" spans="1:2" x14ac:dyDescent="0.3">
      <c r="A1712" s="2">
        <v>45729.25</v>
      </c>
      <c r="B1712">
        <f>3770.51277028782*(3/4)</f>
        <v>2827.8845777158649</v>
      </c>
    </row>
    <row r="1713" spans="1:2" x14ac:dyDescent="0.3">
      <c r="A1713" s="2">
        <v>45729.291666666657</v>
      </c>
      <c r="B1713">
        <f>4139.98458757461*(3/4)</f>
        <v>3104.988440680957</v>
      </c>
    </row>
    <row r="1714" spans="1:2" x14ac:dyDescent="0.3">
      <c r="A1714" s="2">
        <v>45729.333333333343</v>
      </c>
      <c r="B1714">
        <f>3977.01055034887*(3/4)</f>
        <v>2982.7579127616564</v>
      </c>
    </row>
    <row r="1715" spans="1:2" x14ac:dyDescent="0.3">
      <c r="A1715" s="2">
        <v>45729.375</v>
      </c>
      <c r="B1715">
        <f>4289.24859411216*(3/4)</f>
        <v>3216.9364455841237</v>
      </c>
    </row>
    <row r="1716" spans="1:2" x14ac:dyDescent="0.3">
      <c r="A1716" s="2">
        <v>45729.416666666657</v>
      </c>
      <c r="B1716">
        <f>3978.60707269889*(3/4)</f>
        <v>2983.9553045241696</v>
      </c>
    </row>
    <row r="1717" spans="1:2" x14ac:dyDescent="0.3">
      <c r="A1717" s="2">
        <v>45729.458333333343</v>
      </c>
      <c r="B1717">
        <f>4043.34447223672*(3/4)</f>
        <v>3032.508354177543</v>
      </c>
    </row>
    <row r="1718" spans="1:2" x14ac:dyDescent="0.3">
      <c r="A1718" s="2">
        <v>45729.5</v>
      </c>
      <c r="B1718">
        <f>3732.98162885975*(3/4)</f>
        <v>2799.7362216448155</v>
      </c>
    </row>
    <row r="1719" spans="1:2" x14ac:dyDescent="0.3">
      <c r="A1719" s="2">
        <v>45729.541666666657</v>
      </c>
      <c r="B1719">
        <f>3998.72209094191*(3/4)</f>
        <v>2999.041568206429</v>
      </c>
    </row>
    <row r="1720" spans="1:2" x14ac:dyDescent="0.3">
      <c r="A1720" s="2">
        <v>45729.583333333343</v>
      </c>
      <c r="B1720">
        <f>3830.03191991209*(3/4)</f>
        <v>2872.5239399340689</v>
      </c>
    </row>
    <row r="1721" spans="1:2" x14ac:dyDescent="0.3">
      <c r="A1721" s="2">
        <v>45729.625</v>
      </c>
      <c r="B1721">
        <f>3955.26487211121*(3/4)</f>
        <v>2966.4486540834059</v>
      </c>
    </row>
    <row r="1722" spans="1:2" x14ac:dyDescent="0.3">
      <c r="A1722" s="2">
        <v>45729.666666666657</v>
      </c>
      <c r="B1722">
        <f>3879.47737001106*(3/4)</f>
        <v>2909.6080275082927</v>
      </c>
    </row>
    <row r="1723" spans="1:2" x14ac:dyDescent="0.3">
      <c r="A1723" s="2">
        <v>45729.708333333343</v>
      </c>
      <c r="B1723">
        <f>4221.97337819571*(3/4)</f>
        <v>3166.4800336467792</v>
      </c>
    </row>
    <row r="1724" spans="1:2" x14ac:dyDescent="0.3">
      <c r="A1724" s="2">
        <v>45729.75</v>
      </c>
      <c r="B1724">
        <f>4006.97460646812*(3/4)</f>
        <v>3005.230954851093</v>
      </c>
    </row>
    <row r="1725" spans="1:2" x14ac:dyDescent="0.3">
      <c r="A1725" s="2">
        <v>45729.791666666657</v>
      </c>
      <c r="B1725">
        <f>3797.53663434532*(3/4)</f>
        <v>2848.15247575899</v>
      </c>
    </row>
    <row r="1726" spans="1:2" x14ac:dyDescent="0.3">
      <c r="A1726" s="2">
        <v>45729.833333333343</v>
      </c>
      <c r="B1726">
        <f>3962.11473482566*(3/4)</f>
        <v>2971.5860511192418</v>
      </c>
    </row>
    <row r="1727" spans="1:2" x14ac:dyDescent="0.3">
      <c r="A1727" s="2">
        <v>45729.875</v>
      </c>
      <c r="B1727">
        <f>4114.5289698736*(3/4)</f>
        <v>3085.8967274051965</v>
      </c>
    </row>
    <row r="1728" spans="1:2" x14ac:dyDescent="0.3">
      <c r="A1728" s="2">
        <v>45729.916666666657</v>
      </c>
      <c r="B1728">
        <f>3969.82573731382*(3/4)</f>
        <v>2977.3693029853657</v>
      </c>
    </row>
    <row r="1729" spans="1:2" x14ac:dyDescent="0.3">
      <c r="A1729" s="2">
        <v>45729.958333333343</v>
      </c>
      <c r="B1729">
        <f>3938.51622664347*(3/4)</f>
        <v>2953.8871699826018</v>
      </c>
    </row>
    <row r="1730" spans="1:2" x14ac:dyDescent="0.3">
      <c r="A1730" s="2">
        <v>45730</v>
      </c>
      <c r="B1730">
        <f>4400.83224978141*(3/4)</f>
        <v>3300.6241873360559</v>
      </c>
    </row>
    <row r="1731" spans="1:2" x14ac:dyDescent="0.3">
      <c r="A1731" s="2">
        <v>45730.041666666657</v>
      </c>
      <c r="B1731">
        <f>3791.47955882428*(3/4)</f>
        <v>2843.6096691182065</v>
      </c>
    </row>
    <row r="1732" spans="1:2" x14ac:dyDescent="0.3">
      <c r="A1732" s="2">
        <v>45730.083333333343</v>
      </c>
      <c r="B1732">
        <f>3910.63693279417*(3/4)</f>
        <v>2932.9776995956277</v>
      </c>
    </row>
    <row r="1733" spans="1:2" x14ac:dyDescent="0.3">
      <c r="A1733" s="2">
        <v>45730.125</v>
      </c>
      <c r="B1733">
        <f>3917.9413825842*(3/4)</f>
        <v>2938.4560369381529</v>
      </c>
    </row>
    <row r="1734" spans="1:2" x14ac:dyDescent="0.3">
      <c r="A1734" s="2">
        <v>45730.166666666657</v>
      </c>
      <c r="B1734">
        <f>3958.53356077752*(3/4)</f>
        <v>2968.9001705831361</v>
      </c>
    </row>
    <row r="1735" spans="1:2" x14ac:dyDescent="0.3">
      <c r="A1735" s="2">
        <v>45730.208333333343</v>
      </c>
      <c r="B1735">
        <f>3991.00440097745*(3/4)</f>
        <v>2993.2533007330885</v>
      </c>
    </row>
    <row r="1736" spans="1:2" x14ac:dyDescent="0.3">
      <c r="A1736" s="2">
        <v>45730.25</v>
      </c>
      <c r="B1736">
        <f>3696.06870339566*(3/4)</f>
        <v>2772.0515275467465</v>
      </c>
    </row>
    <row r="1737" spans="1:2" x14ac:dyDescent="0.3">
      <c r="A1737" s="2">
        <v>45730.291666666657</v>
      </c>
      <c r="B1737">
        <f>3899.70756695102*(3/4)</f>
        <v>2924.7806752132651</v>
      </c>
    </row>
    <row r="1738" spans="1:2" x14ac:dyDescent="0.3">
      <c r="A1738" s="2">
        <v>45730.333333333343</v>
      </c>
      <c r="B1738">
        <f>4465.42630506324*(3/4)</f>
        <v>3349.0697287974285</v>
      </c>
    </row>
    <row r="1739" spans="1:2" x14ac:dyDescent="0.3">
      <c r="A1739" s="2">
        <v>45730.375</v>
      </c>
      <c r="B1739">
        <f>4109.64827469747*(3/4)</f>
        <v>3082.2362060231026</v>
      </c>
    </row>
    <row r="1740" spans="1:2" x14ac:dyDescent="0.3">
      <c r="A1740" s="2">
        <v>45730.416666666657</v>
      </c>
      <c r="B1740">
        <f>4099.13520241471*(3/4)</f>
        <v>3074.3514018110309</v>
      </c>
    </row>
    <row r="1741" spans="1:2" x14ac:dyDescent="0.3">
      <c r="A1741" s="2">
        <v>45730.458333333343</v>
      </c>
      <c r="B1741">
        <f>4228.75066026759*(3/4)</f>
        <v>3171.5629952006934</v>
      </c>
    </row>
    <row r="1742" spans="1:2" x14ac:dyDescent="0.3">
      <c r="A1742" s="2">
        <v>45730.5</v>
      </c>
      <c r="B1742">
        <f>3844.23776976855*(3/4)</f>
        <v>2883.1783273264095</v>
      </c>
    </row>
    <row r="1743" spans="1:2" x14ac:dyDescent="0.3">
      <c r="A1743" s="2">
        <v>45730.541666666657</v>
      </c>
      <c r="B1743">
        <f>3941.67952681915*(3/4)</f>
        <v>2956.2596451143631</v>
      </c>
    </row>
    <row r="1744" spans="1:2" x14ac:dyDescent="0.3">
      <c r="A1744" s="2">
        <v>45730.583333333343</v>
      </c>
      <c r="B1744">
        <f>3840.73261910726*(3/4)</f>
        <v>2880.5494643304442</v>
      </c>
    </row>
    <row r="1745" spans="1:2" x14ac:dyDescent="0.3">
      <c r="A1745" s="2">
        <v>45730.625</v>
      </c>
      <c r="B1745">
        <f>4157.08917748169*(3/4)</f>
        <v>3117.8168831112707</v>
      </c>
    </row>
    <row r="1746" spans="1:2" x14ac:dyDescent="0.3">
      <c r="A1746" s="2">
        <v>45730.666666666657</v>
      </c>
      <c r="B1746">
        <f>3964.45262234761*(3/4)</f>
        <v>2973.3394667607099</v>
      </c>
    </row>
    <row r="1747" spans="1:2" x14ac:dyDescent="0.3">
      <c r="A1747" s="2">
        <v>45730.708333333343</v>
      </c>
      <c r="B1747">
        <f>3951.01102352361*(3/4)</f>
        <v>2963.2582676427078</v>
      </c>
    </row>
    <row r="1748" spans="1:2" x14ac:dyDescent="0.3">
      <c r="A1748" s="2">
        <v>45730.75</v>
      </c>
      <c r="B1748">
        <f>4090.58205145036*(3/4)</f>
        <v>3067.93653858777</v>
      </c>
    </row>
    <row r="1749" spans="1:2" x14ac:dyDescent="0.3">
      <c r="A1749" s="2">
        <v>45730.791666666657</v>
      </c>
      <c r="B1749">
        <f>3994.04676631781*(3/4)</f>
        <v>2995.5350747383582</v>
      </c>
    </row>
    <row r="1750" spans="1:2" x14ac:dyDescent="0.3">
      <c r="A1750" s="2">
        <v>45730.833333333343</v>
      </c>
      <c r="B1750">
        <f>3851.97554189414*(3/4)</f>
        <v>2888.9816564206021</v>
      </c>
    </row>
    <row r="1751" spans="1:2" x14ac:dyDescent="0.3">
      <c r="A1751" s="2">
        <v>45730.875</v>
      </c>
      <c r="B1751">
        <f>3827.05162704042*(3/4)</f>
        <v>2870.2887202803122</v>
      </c>
    </row>
    <row r="1752" spans="1:2" x14ac:dyDescent="0.3">
      <c r="A1752" s="2">
        <v>45730.916666666657</v>
      </c>
      <c r="B1752">
        <f>3802.47146656696*(3/4)</f>
        <v>2851.8535999252208</v>
      </c>
    </row>
    <row r="1753" spans="1:2" x14ac:dyDescent="0.3">
      <c r="A1753" s="2">
        <v>45730.958333333343</v>
      </c>
      <c r="B1753">
        <f>3945.19962369048*(3/4)</f>
        <v>2958.8997177678593</v>
      </c>
    </row>
    <row r="1754" spans="1:2" x14ac:dyDescent="0.3">
      <c r="A1754" s="2">
        <v>45731</v>
      </c>
      <c r="B1754">
        <f>4072.1340821801*(3/4)</f>
        <v>3054.1005616350785</v>
      </c>
    </row>
    <row r="1755" spans="1:2" x14ac:dyDescent="0.3">
      <c r="A1755" s="2">
        <v>45731.041666666657</v>
      </c>
      <c r="B1755">
        <f>3637.27677957613*(3/4)</f>
        <v>2727.9575846820953</v>
      </c>
    </row>
    <row r="1756" spans="1:2" x14ac:dyDescent="0.3">
      <c r="A1756" s="2">
        <v>45731.083333333343</v>
      </c>
      <c r="B1756">
        <f>3817.8604716102*(3/4)</f>
        <v>2863.3953537076522</v>
      </c>
    </row>
    <row r="1757" spans="1:2" x14ac:dyDescent="0.3">
      <c r="A1757" s="2">
        <v>45731.125</v>
      </c>
      <c r="B1757">
        <f>4160.5792262664*(3/4)</f>
        <v>3120.4344196997972</v>
      </c>
    </row>
    <row r="1758" spans="1:2" x14ac:dyDescent="0.3">
      <c r="A1758" s="2">
        <v>45731.166666666657</v>
      </c>
      <c r="B1758">
        <f>4386.39171793555*(3/4)</f>
        <v>3289.7937884516641</v>
      </c>
    </row>
    <row r="1759" spans="1:2" x14ac:dyDescent="0.3">
      <c r="A1759" s="2">
        <v>45731.208333333343</v>
      </c>
      <c r="B1759">
        <f>4061.30399467932*(3/4)</f>
        <v>3045.977996009492</v>
      </c>
    </row>
    <row r="1760" spans="1:2" x14ac:dyDescent="0.3">
      <c r="A1760" s="2">
        <v>45731.25</v>
      </c>
      <c r="B1760">
        <f>3589.47577572209*(3/4)</f>
        <v>2692.1068317915674</v>
      </c>
    </row>
    <row r="1761" spans="1:2" x14ac:dyDescent="0.3">
      <c r="A1761" s="2">
        <v>45731.291666666657</v>
      </c>
      <c r="B1761">
        <f>4181.60106538608*(3/4)</f>
        <v>3136.2007990395609</v>
      </c>
    </row>
    <row r="1762" spans="1:2" x14ac:dyDescent="0.3">
      <c r="A1762" s="2">
        <v>45731.333333333343</v>
      </c>
      <c r="B1762">
        <f>4049.6156145335*(3/4)</f>
        <v>3037.2117109001219</v>
      </c>
    </row>
    <row r="1763" spans="1:2" x14ac:dyDescent="0.3">
      <c r="A1763" s="2">
        <v>45731.375</v>
      </c>
      <c r="B1763">
        <f>4324.85188626667*(3/4)</f>
        <v>3243.638914700005</v>
      </c>
    </row>
    <row r="1764" spans="1:2" x14ac:dyDescent="0.3">
      <c r="A1764" s="2">
        <v>45731.416666666657</v>
      </c>
      <c r="B1764">
        <f>3934.66449117697*(3/4)</f>
        <v>2950.9983683827304</v>
      </c>
    </row>
    <row r="1765" spans="1:2" x14ac:dyDescent="0.3">
      <c r="A1765" s="2">
        <v>45731.458333333343</v>
      </c>
      <c r="B1765">
        <f>4038.2165475781*(3/4)</f>
        <v>3028.6624106835779</v>
      </c>
    </row>
    <row r="1766" spans="1:2" x14ac:dyDescent="0.3">
      <c r="A1766" s="2">
        <v>45731.5</v>
      </c>
      <c r="B1766">
        <f>4051.77626105548*(3/4)</f>
        <v>3038.8321957916123</v>
      </c>
    </row>
    <row r="1767" spans="1:2" x14ac:dyDescent="0.3">
      <c r="A1767" s="2">
        <v>45731.541666666657</v>
      </c>
      <c r="B1767">
        <f>3842.09816923104*(3/4)</f>
        <v>2881.5736269232793</v>
      </c>
    </row>
    <row r="1768" spans="1:2" x14ac:dyDescent="0.3">
      <c r="A1768" s="2">
        <v>45731.583333333343</v>
      </c>
      <c r="B1768">
        <f>3704.04930782987*(3/4)</f>
        <v>2778.0369808724026</v>
      </c>
    </row>
    <row r="1769" spans="1:2" x14ac:dyDescent="0.3">
      <c r="A1769" s="2">
        <v>45731.625</v>
      </c>
      <c r="B1769">
        <f>4323.59498832766*(3/4)</f>
        <v>3242.6962412457424</v>
      </c>
    </row>
    <row r="1770" spans="1:2" x14ac:dyDescent="0.3">
      <c r="A1770" s="2">
        <v>45731.666666666657</v>
      </c>
      <c r="B1770">
        <f>3942.29835345498*(3/4)</f>
        <v>2956.7237650912334</v>
      </c>
    </row>
    <row r="1771" spans="1:2" x14ac:dyDescent="0.3">
      <c r="A1771" s="2">
        <v>45731.708333333343</v>
      </c>
      <c r="B1771">
        <f>4009.95348870132*(3/4)</f>
        <v>3007.4651165259884</v>
      </c>
    </row>
    <row r="1772" spans="1:2" x14ac:dyDescent="0.3">
      <c r="A1772" s="2">
        <v>45731.75</v>
      </c>
      <c r="B1772">
        <f>3862.02852734346*(3/4)</f>
        <v>2896.5213955075942</v>
      </c>
    </row>
    <row r="1773" spans="1:2" x14ac:dyDescent="0.3">
      <c r="A1773" s="2">
        <v>45731.791666666657</v>
      </c>
      <c r="B1773">
        <f>4035.23991995227*(3/4)</f>
        <v>3026.4299399641995</v>
      </c>
    </row>
    <row r="1774" spans="1:2" x14ac:dyDescent="0.3">
      <c r="A1774" s="2">
        <v>45731.833333333343</v>
      </c>
      <c r="B1774">
        <f>4127.02226504187*(3/4)</f>
        <v>3095.2666987814009</v>
      </c>
    </row>
    <row r="1775" spans="1:2" x14ac:dyDescent="0.3">
      <c r="A1775" s="2">
        <v>45731.875</v>
      </c>
      <c r="B1775">
        <f>4183.36012112974*(3/4)</f>
        <v>3137.520090847303</v>
      </c>
    </row>
    <row r="1776" spans="1:2" x14ac:dyDescent="0.3">
      <c r="A1776" s="2">
        <v>45731.916666666657</v>
      </c>
      <c r="B1776">
        <f>3916.70065392511*(3/4)</f>
        <v>2937.5254904438307</v>
      </c>
    </row>
    <row r="1777" spans="1:2" x14ac:dyDescent="0.3">
      <c r="A1777" s="2">
        <v>45731.958333333343</v>
      </c>
      <c r="B1777">
        <f>4099.10517976524*(3/4)</f>
        <v>3074.328884823929</v>
      </c>
    </row>
    <row r="1778" spans="1:2" x14ac:dyDescent="0.3">
      <c r="A1778" s="2">
        <v>45732</v>
      </c>
      <c r="B1778">
        <f>3862.6022430624*(3/4)</f>
        <v>2896.9516822968035</v>
      </c>
    </row>
    <row r="1779" spans="1:2" x14ac:dyDescent="0.3">
      <c r="A1779" s="2">
        <v>45732.041666666657</v>
      </c>
      <c r="B1779">
        <f>3892.91967843237*(3/4)</f>
        <v>2919.6897588242755</v>
      </c>
    </row>
    <row r="1780" spans="1:2" x14ac:dyDescent="0.3">
      <c r="A1780" s="2">
        <v>45732.083333333343</v>
      </c>
      <c r="B1780">
        <f>3993.77655699814*(3/4)</f>
        <v>2995.3324177486065</v>
      </c>
    </row>
    <row r="1781" spans="1:2" x14ac:dyDescent="0.3">
      <c r="A1781" s="2">
        <v>45732.125</v>
      </c>
      <c r="B1781">
        <f>3778.60391059236*(3/4)</f>
        <v>2833.9529329442676</v>
      </c>
    </row>
    <row r="1782" spans="1:2" x14ac:dyDescent="0.3">
      <c r="A1782" s="2">
        <v>45732.166666666657</v>
      </c>
      <c r="B1782">
        <f>3720.41407497348*(3/4)</f>
        <v>2790.3105562301084</v>
      </c>
    </row>
    <row r="1783" spans="1:2" x14ac:dyDescent="0.3">
      <c r="A1783" s="2">
        <v>45732.208333333343</v>
      </c>
      <c r="B1783">
        <f>3837.24769258262*(3/4)</f>
        <v>2877.9357694369655</v>
      </c>
    </row>
    <row r="1784" spans="1:2" x14ac:dyDescent="0.3">
      <c r="A1784" s="2">
        <v>45732.25</v>
      </c>
      <c r="B1784">
        <f>3974.85237119144*(3/4)</f>
        <v>2981.1392783935798</v>
      </c>
    </row>
    <row r="1785" spans="1:2" x14ac:dyDescent="0.3">
      <c r="A1785" s="2">
        <v>45732.291666666657</v>
      </c>
      <c r="B1785">
        <f>4148.45075641801*(3/4)</f>
        <v>3111.3380673135057</v>
      </c>
    </row>
    <row r="1786" spans="1:2" x14ac:dyDescent="0.3">
      <c r="A1786" s="2">
        <v>45732.333333333343</v>
      </c>
      <c r="B1786">
        <f>3162.7006659612*(3/4)</f>
        <v>2372.0254994709007</v>
      </c>
    </row>
    <row r="1787" spans="1:2" x14ac:dyDescent="0.3">
      <c r="A1787" s="2">
        <v>45732.375</v>
      </c>
      <c r="B1787">
        <f>3175.21451391718*(3/4)</f>
        <v>2381.4108854378819</v>
      </c>
    </row>
    <row r="1788" spans="1:2" x14ac:dyDescent="0.3">
      <c r="A1788" s="2">
        <v>45732.416666666657</v>
      </c>
      <c r="B1788">
        <f>3261.65067284878*(3/4)</f>
        <v>2446.2380046365843</v>
      </c>
    </row>
    <row r="1789" spans="1:2" x14ac:dyDescent="0.3">
      <c r="A1789" s="2">
        <v>45732.458333333343</v>
      </c>
      <c r="B1789">
        <f>3015.03608660177*(3/4)</f>
        <v>2261.2770649513277</v>
      </c>
    </row>
    <row r="1790" spans="1:2" x14ac:dyDescent="0.3">
      <c r="A1790" s="2">
        <v>45732.5</v>
      </c>
      <c r="B1790">
        <f>3084.79624176243*(3/4)</f>
        <v>2313.5971813218216</v>
      </c>
    </row>
    <row r="1791" spans="1:2" x14ac:dyDescent="0.3">
      <c r="A1791" s="2">
        <v>45732.541666666657</v>
      </c>
      <c r="B1791">
        <f>3176.04239453668*(3/4)</f>
        <v>2382.0317959025128</v>
      </c>
    </row>
    <row r="1792" spans="1:2" x14ac:dyDescent="0.3">
      <c r="A1792" s="2">
        <v>45732.583333333343</v>
      </c>
      <c r="B1792">
        <f>3117.42766197995*(3/4)</f>
        <v>2338.0707464849647</v>
      </c>
    </row>
    <row r="1793" spans="1:2" x14ac:dyDescent="0.3">
      <c r="A1793" s="2">
        <v>45732.625</v>
      </c>
      <c r="B1793">
        <f>3115.04616538378*(3/4)</f>
        <v>2336.2846240378335</v>
      </c>
    </row>
    <row r="1794" spans="1:2" x14ac:dyDescent="0.3">
      <c r="A1794" s="2">
        <v>45732.666666666657</v>
      </c>
      <c r="B1794">
        <f>3516.96794449664*(3/4)</f>
        <v>2637.7259583724763</v>
      </c>
    </row>
    <row r="1795" spans="1:2" x14ac:dyDescent="0.3">
      <c r="A1795" s="2">
        <v>45732.708333333343</v>
      </c>
      <c r="B1795">
        <f>3894.44675749771*(3/4)</f>
        <v>2920.8350681232832</v>
      </c>
    </row>
    <row r="1796" spans="1:2" x14ac:dyDescent="0.3">
      <c r="A1796" s="2">
        <v>45732.75</v>
      </c>
      <c r="B1796">
        <f>3856.72044840521*(3/4)</f>
        <v>2892.5403363039077</v>
      </c>
    </row>
    <row r="1797" spans="1:2" x14ac:dyDescent="0.3">
      <c r="A1797" s="2">
        <v>45732.791666666657</v>
      </c>
      <c r="B1797">
        <f>4164.77303482222*(3/4)</f>
        <v>3123.5797761166632</v>
      </c>
    </row>
    <row r="1798" spans="1:2" x14ac:dyDescent="0.3">
      <c r="A1798" s="2">
        <v>45732.833333333343</v>
      </c>
      <c r="B1798">
        <f>4007.42961371512*(3/4)</f>
        <v>3005.5722102863392</v>
      </c>
    </row>
    <row r="1799" spans="1:2" x14ac:dyDescent="0.3">
      <c r="A1799" s="2">
        <v>45732.875</v>
      </c>
      <c r="B1799">
        <f>3888.02400863538*(3/4)</f>
        <v>2916.0180064765377</v>
      </c>
    </row>
    <row r="1800" spans="1:2" x14ac:dyDescent="0.3">
      <c r="A1800" s="2">
        <v>45732.916666666657</v>
      </c>
      <c r="B1800">
        <f>3705.87129926139*(3/4)</f>
        <v>2779.4034744460455</v>
      </c>
    </row>
    <row r="1801" spans="1:2" x14ac:dyDescent="0.3">
      <c r="A1801" s="2">
        <v>45732.958333333343</v>
      </c>
      <c r="B1801">
        <f>4108.25422039111*(3/4)</f>
        <v>3081.1906652933358</v>
      </c>
    </row>
    <row r="1802" spans="1:2" x14ac:dyDescent="0.3">
      <c r="A1802" s="2">
        <v>45733</v>
      </c>
      <c r="B1802">
        <f>4030.19251933208*(3/4)</f>
        <v>3022.6443894990616</v>
      </c>
    </row>
    <row r="1803" spans="1:2" x14ac:dyDescent="0.3">
      <c r="A1803" s="2">
        <v>45733.041666666657</v>
      </c>
      <c r="B1803">
        <f>4023.79453762796*(3/4)</f>
        <v>3017.8459032209707</v>
      </c>
    </row>
    <row r="1804" spans="1:2" x14ac:dyDescent="0.3">
      <c r="A1804" s="2">
        <v>45733.083333333343</v>
      </c>
      <c r="B1804">
        <f>3707.86898882203*(3/4)</f>
        <v>2780.9017416165198</v>
      </c>
    </row>
    <row r="1805" spans="1:2" x14ac:dyDescent="0.3">
      <c r="A1805" s="2">
        <v>45733.125</v>
      </c>
      <c r="B1805">
        <f>4111.73815852927*(3/4)</f>
        <v>3083.8036188969518</v>
      </c>
    </row>
    <row r="1806" spans="1:2" x14ac:dyDescent="0.3">
      <c r="A1806" s="2">
        <v>45733.166666666657</v>
      </c>
      <c r="B1806">
        <f>4284.60590876565*(3/4)</f>
        <v>3213.4544315742392</v>
      </c>
    </row>
    <row r="1807" spans="1:2" x14ac:dyDescent="0.3">
      <c r="A1807" s="2">
        <v>45733.208333333343</v>
      </c>
      <c r="B1807">
        <f>4053.34258227229*(3/4)</f>
        <v>3040.0069367042161</v>
      </c>
    </row>
    <row r="1808" spans="1:2" x14ac:dyDescent="0.3">
      <c r="A1808" s="2">
        <v>45733.25</v>
      </c>
      <c r="B1808">
        <f>3779.57301440747*(3/4)</f>
        <v>2834.6797608056004</v>
      </c>
    </row>
    <row r="1809" spans="1:2" x14ac:dyDescent="0.3">
      <c r="A1809" s="2">
        <v>45733.291666666657</v>
      </c>
      <c r="B1809">
        <f>3942.55586168821*(3/4)</f>
        <v>2956.9168962661597</v>
      </c>
    </row>
    <row r="1810" spans="1:2" x14ac:dyDescent="0.3">
      <c r="A1810" s="2">
        <v>45733.333333333343</v>
      </c>
      <c r="B1810">
        <f>4185.88134104034*(3/4)</f>
        <v>3139.4110057802545</v>
      </c>
    </row>
    <row r="1811" spans="1:2" x14ac:dyDescent="0.3">
      <c r="A1811" s="2">
        <v>45733.375</v>
      </c>
      <c r="B1811">
        <f>3909.81832191795*(3/4)</f>
        <v>2932.363741438463</v>
      </c>
    </row>
    <row r="1812" spans="1:2" x14ac:dyDescent="0.3">
      <c r="A1812" s="2">
        <v>45733.416666666657</v>
      </c>
      <c r="B1812">
        <f>4130.99790846121*(3/4)</f>
        <v>3098.2484313459045</v>
      </c>
    </row>
    <row r="1813" spans="1:2" x14ac:dyDescent="0.3">
      <c r="A1813" s="2">
        <v>45733.458333333343</v>
      </c>
      <c r="B1813">
        <f>4007.66161673431*(3/4)</f>
        <v>3005.7462125507336</v>
      </c>
    </row>
    <row r="1814" spans="1:2" x14ac:dyDescent="0.3">
      <c r="A1814" s="2">
        <v>45733.5</v>
      </c>
      <c r="B1814">
        <f>4088.83292988987*(3/4)</f>
        <v>3066.6246974174046</v>
      </c>
    </row>
    <row r="1815" spans="1:2" x14ac:dyDescent="0.3">
      <c r="A1815" s="2">
        <v>45733.541666666657</v>
      </c>
      <c r="B1815">
        <f>4036.17109635238*(3/4)</f>
        <v>3027.1283222642819</v>
      </c>
    </row>
    <row r="1816" spans="1:2" x14ac:dyDescent="0.3">
      <c r="A1816" s="2">
        <v>45733.583333333343</v>
      </c>
      <c r="B1816">
        <f>3697.90378700392*(3/4)</f>
        <v>2773.4278402529421</v>
      </c>
    </row>
    <row r="1817" spans="1:2" x14ac:dyDescent="0.3">
      <c r="A1817" s="2">
        <v>45733.625</v>
      </c>
      <c r="B1817">
        <f>4148.7439083317*(3/4)</f>
        <v>3111.5579312487753</v>
      </c>
    </row>
    <row r="1818" spans="1:2" x14ac:dyDescent="0.3">
      <c r="A1818" s="2">
        <v>45733.666666666657</v>
      </c>
      <c r="B1818">
        <f>4075.00876212759*(3/4)</f>
        <v>3056.2565715956907</v>
      </c>
    </row>
    <row r="1819" spans="1:2" x14ac:dyDescent="0.3">
      <c r="A1819" s="2">
        <v>45733.708333333343</v>
      </c>
      <c r="B1819">
        <f>3983.84069068133*(3/4)</f>
        <v>2987.8805180109957</v>
      </c>
    </row>
    <row r="1820" spans="1:2" x14ac:dyDescent="0.3">
      <c r="A1820" s="2">
        <v>45733.75</v>
      </c>
      <c r="B1820">
        <f>3913.15898920039*(3/4)</f>
        <v>2934.8692419002919</v>
      </c>
    </row>
    <row r="1821" spans="1:2" x14ac:dyDescent="0.3">
      <c r="A1821" s="2">
        <v>45733.791666666657</v>
      </c>
      <c r="B1821">
        <f>4094.96919242835*(3/4)</f>
        <v>3071.2268943212594</v>
      </c>
    </row>
    <row r="1822" spans="1:2" x14ac:dyDescent="0.3">
      <c r="A1822" s="2">
        <v>45733.833333333343</v>
      </c>
      <c r="B1822">
        <f>4309.66307012265*(3/4)</f>
        <v>3232.2473025919844</v>
      </c>
    </row>
    <row r="1823" spans="1:2" x14ac:dyDescent="0.3">
      <c r="A1823" s="2">
        <v>45733.875</v>
      </c>
      <c r="B1823">
        <f>3764.72079461283*(3/4)</f>
        <v>2823.540595959621</v>
      </c>
    </row>
    <row r="1824" spans="1:2" x14ac:dyDescent="0.3">
      <c r="A1824" s="2">
        <v>45733.916666666657</v>
      </c>
      <c r="B1824">
        <f>3683.74703746175*(3/4)</f>
        <v>2762.8102780963131</v>
      </c>
    </row>
    <row r="1825" spans="1:2" x14ac:dyDescent="0.3">
      <c r="A1825" s="2">
        <v>45733.958333333343</v>
      </c>
      <c r="B1825">
        <f>4007.95364080278*(3/4)</f>
        <v>3005.9652306020816</v>
      </c>
    </row>
    <row r="1826" spans="1:2" x14ac:dyDescent="0.3">
      <c r="A1826" s="2">
        <v>45734</v>
      </c>
      <c r="B1826">
        <f>4252.71475019095*(3/4)</f>
        <v>3189.5360626432157</v>
      </c>
    </row>
    <row r="1827" spans="1:2" x14ac:dyDescent="0.3">
      <c r="A1827" s="2">
        <v>45734.041666666657</v>
      </c>
      <c r="B1827">
        <f>3718.23544017959*(3/4)</f>
        <v>2788.6765801346896</v>
      </c>
    </row>
    <row r="1828" spans="1:2" x14ac:dyDescent="0.3">
      <c r="A1828" s="2">
        <v>45734.083333333343</v>
      </c>
      <c r="B1828">
        <f>3912.17686591861*(3/4)</f>
        <v>2934.1326494389582</v>
      </c>
    </row>
    <row r="1829" spans="1:2" x14ac:dyDescent="0.3">
      <c r="A1829" s="2">
        <v>45734.125</v>
      </c>
      <c r="B1829">
        <f>3750.50686838776*(3/4)</f>
        <v>2812.8801512908231</v>
      </c>
    </row>
    <row r="1830" spans="1:2" x14ac:dyDescent="0.3">
      <c r="A1830" s="2">
        <v>45734.166666666657</v>
      </c>
      <c r="B1830">
        <f>3882.81322974941*(3/4)</f>
        <v>2912.1099223120555</v>
      </c>
    </row>
    <row r="1831" spans="1:2" x14ac:dyDescent="0.3">
      <c r="A1831" s="2">
        <v>45734.208333333343</v>
      </c>
      <c r="B1831">
        <f>3810.79609939488*(3/4)</f>
        <v>2858.0970745461591</v>
      </c>
    </row>
    <row r="1832" spans="1:2" x14ac:dyDescent="0.3">
      <c r="A1832" s="2">
        <v>45734.25</v>
      </c>
      <c r="B1832">
        <f>4035.01494897388*(3/4)</f>
        <v>3026.2612117304134</v>
      </c>
    </row>
    <row r="1833" spans="1:2" x14ac:dyDescent="0.3">
      <c r="A1833" s="2">
        <v>45734.291666666657</v>
      </c>
      <c r="B1833">
        <f>3840.54272240994*(3/4)</f>
        <v>2880.4070418074571</v>
      </c>
    </row>
    <row r="1834" spans="1:2" x14ac:dyDescent="0.3">
      <c r="A1834" s="2">
        <v>45734.333333333343</v>
      </c>
      <c r="B1834">
        <f>4259.16139672693*(3/4)</f>
        <v>3194.3710475451981</v>
      </c>
    </row>
    <row r="1835" spans="1:2" x14ac:dyDescent="0.3">
      <c r="A1835" s="2">
        <v>45734.375</v>
      </c>
      <c r="B1835">
        <f>4104.96974530228*(3/4)</f>
        <v>3078.7273089767127</v>
      </c>
    </row>
    <row r="1836" spans="1:2" x14ac:dyDescent="0.3">
      <c r="A1836" s="2">
        <v>45734.416666666657</v>
      </c>
      <c r="B1836">
        <f>4085.88727170645*(3/4)</f>
        <v>3064.4154537798368</v>
      </c>
    </row>
    <row r="1837" spans="1:2" x14ac:dyDescent="0.3">
      <c r="A1837" s="2">
        <v>45734.458333333343</v>
      </c>
      <c r="B1837">
        <f>4081.06691699633*(3/4)</f>
        <v>3060.8001877472475</v>
      </c>
    </row>
    <row r="1838" spans="1:2" x14ac:dyDescent="0.3">
      <c r="A1838" s="2">
        <v>45734.5</v>
      </c>
      <c r="B1838">
        <f>4300.05459090501*(3/4)</f>
        <v>3225.0409431787607</v>
      </c>
    </row>
    <row r="1839" spans="1:2" x14ac:dyDescent="0.3">
      <c r="A1839" s="2">
        <v>45734.541666666657</v>
      </c>
      <c r="B1839">
        <f>3961.87640309952*(3/4)</f>
        <v>2971.4073023246374</v>
      </c>
    </row>
    <row r="1840" spans="1:2" x14ac:dyDescent="0.3">
      <c r="A1840" s="2">
        <v>45734.583333333343</v>
      </c>
      <c r="B1840">
        <f>4016.2958006867*(3/4)</f>
        <v>3012.221850515024</v>
      </c>
    </row>
    <row r="1841" spans="1:2" x14ac:dyDescent="0.3">
      <c r="A1841" s="2">
        <v>45734.625</v>
      </c>
      <c r="B1841">
        <f>3857.65183703678*(3/4)</f>
        <v>2893.238877777585</v>
      </c>
    </row>
    <row r="1842" spans="1:2" x14ac:dyDescent="0.3">
      <c r="A1842" s="2">
        <v>45734.666666666657</v>
      </c>
      <c r="B1842">
        <f>4110.74343438574*(3/4)</f>
        <v>3083.0575757893021</v>
      </c>
    </row>
    <row r="1843" spans="1:2" x14ac:dyDescent="0.3">
      <c r="A1843" s="2">
        <v>45734.708333333343</v>
      </c>
      <c r="B1843">
        <f>3941.58025975564*(3/4)</f>
        <v>2956.1851948167287</v>
      </c>
    </row>
    <row r="1844" spans="1:2" x14ac:dyDescent="0.3">
      <c r="A1844" s="2">
        <v>45734.75</v>
      </c>
      <c r="B1844">
        <f>4048.0933583742*(3/4)</f>
        <v>3036.0700187806488</v>
      </c>
    </row>
    <row r="1845" spans="1:2" x14ac:dyDescent="0.3">
      <c r="A1845" s="2">
        <v>45734.791666666657</v>
      </c>
      <c r="B1845">
        <f>4138.03500038894*(3/4)</f>
        <v>3103.5262502917062</v>
      </c>
    </row>
    <row r="1846" spans="1:2" x14ac:dyDescent="0.3">
      <c r="A1846" s="2">
        <v>45734.833333333343</v>
      </c>
      <c r="B1846">
        <f>4574.90174160668*(3/4)</f>
        <v>3431.1763062050122</v>
      </c>
    </row>
    <row r="1847" spans="1:2" x14ac:dyDescent="0.3">
      <c r="A1847" s="2">
        <v>45734.875</v>
      </c>
      <c r="B1847">
        <f>3892.56918870622*(3/4)</f>
        <v>2919.4268915296634</v>
      </c>
    </row>
    <row r="1848" spans="1:2" x14ac:dyDescent="0.3">
      <c r="A1848" s="2">
        <v>45734.916666666657</v>
      </c>
      <c r="B1848">
        <f>3753.529928637*(3/4)</f>
        <v>2815.147446477753</v>
      </c>
    </row>
    <row r="1849" spans="1:2" x14ac:dyDescent="0.3">
      <c r="A1849" s="2">
        <v>45734.958333333343</v>
      </c>
      <c r="B1849">
        <f>3955.86090555506*(3/4)</f>
        <v>2966.8956791662981</v>
      </c>
    </row>
    <row r="1850" spans="1:2" x14ac:dyDescent="0.3">
      <c r="A1850" s="2">
        <v>45735</v>
      </c>
      <c r="B1850">
        <f>4136.04533773471*(3/4)</f>
        <v>3102.0340033010293</v>
      </c>
    </row>
    <row r="1851" spans="1:2" x14ac:dyDescent="0.3">
      <c r="A1851" s="2">
        <v>45735.041666666657</v>
      </c>
      <c r="B1851">
        <f>3982.10809080818*(3/4)</f>
        <v>2986.5810681061348</v>
      </c>
    </row>
    <row r="1852" spans="1:2" x14ac:dyDescent="0.3">
      <c r="A1852" s="2">
        <v>45735.083333333343</v>
      </c>
      <c r="B1852">
        <f>4072.44128117493*(3/4)</f>
        <v>3054.3309608812006</v>
      </c>
    </row>
    <row r="1853" spans="1:2" x14ac:dyDescent="0.3">
      <c r="A1853" s="2">
        <v>45735.125</v>
      </c>
      <c r="B1853">
        <f>3867.66312762722*(3/4)</f>
        <v>2900.7473457204164</v>
      </c>
    </row>
    <row r="1854" spans="1:2" x14ac:dyDescent="0.3">
      <c r="A1854" s="2">
        <v>45735.166666666657</v>
      </c>
      <c r="B1854">
        <f>4253.05543374396*(3/4)</f>
        <v>3189.7915753079687</v>
      </c>
    </row>
    <row r="1855" spans="1:2" x14ac:dyDescent="0.3">
      <c r="A1855" s="2">
        <v>45735.208333333343</v>
      </c>
      <c r="B1855">
        <f>3783.62888647553*(3/4)</f>
        <v>2837.7216648566437</v>
      </c>
    </row>
    <row r="1856" spans="1:2" x14ac:dyDescent="0.3">
      <c r="A1856" s="2">
        <v>45735.25</v>
      </c>
      <c r="B1856">
        <f>3867.94363965967*(3/4)</f>
        <v>2900.9577297447504</v>
      </c>
    </row>
    <row r="1857" spans="1:2" x14ac:dyDescent="0.3">
      <c r="A1857" s="2">
        <v>45735.291666666657</v>
      </c>
      <c r="B1857">
        <f>3883.12619618816*(3/4)</f>
        <v>2912.3446471411198</v>
      </c>
    </row>
    <row r="1858" spans="1:2" x14ac:dyDescent="0.3">
      <c r="A1858" s="2">
        <v>45735.333333333343</v>
      </c>
      <c r="B1858">
        <f>4322.98868351505*(3/4)</f>
        <v>3242.2415126362894</v>
      </c>
    </row>
    <row r="1859" spans="1:2" x14ac:dyDescent="0.3">
      <c r="A1859" s="2">
        <v>45735.375</v>
      </c>
      <c r="B1859">
        <f>4236.11233462326*(3/4)</f>
        <v>3177.0842509674435</v>
      </c>
    </row>
    <row r="1860" spans="1:2" x14ac:dyDescent="0.3">
      <c r="A1860" s="2">
        <v>45735.416666666657</v>
      </c>
      <c r="B1860">
        <f>4088.63863813372*(3/4)</f>
        <v>3066.4789786002916</v>
      </c>
    </row>
    <row r="1861" spans="1:2" x14ac:dyDescent="0.3">
      <c r="A1861" s="2">
        <v>45735.458333333343</v>
      </c>
      <c r="B1861">
        <f>3930.21718284387*(3/4)</f>
        <v>2947.6628871329031</v>
      </c>
    </row>
    <row r="1862" spans="1:2" x14ac:dyDescent="0.3">
      <c r="A1862" s="2">
        <v>45735.5</v>
      </c>
      <c r="B1862">
        <f>3951.81506878644*(3/4)</f>
        <v>2963.8613015898281</v>
      </c>
    </row>
    <row r="1863" spans="1:2" x14ac:dyDescent="0.3">
      <c r="A1863" s="2">
        <v>45735.541666666657</v>
      </c>
      <c r="B1863">
        <f>4071.7555998352*(3/4)</f>
        <v>3053.8166998764</v>
      </c>
    </row>
    <row r="1864" spans="1:2" x14ac:dyDescent="0.3">
      <c r="A1864" s="2">
        <v>45735.583333333343</v>
      </c>
      <c r="B1864">
        <f>3545.20834004243*(3/4)</f>
        <v>2658.9062550318204</v>
      </c>
    </row>
    <row r="1865" spans="1:2" x14ac:dyDescent="0.3">
      <c r="A1865" s="2">
        <v>45735.625</v>
      </c>
      <c r="B1865">
        <f>4093.60087220787*(3/4)</f>
        <v>3070.2006541559058</v>
      </c>
    </row>
    <row r="1866" spans="1:2" x14ac:dyDescent="0.3">
      <c r="A1866" s="2">
        <v>45735.666666666657</v>
      </c>
      <c r="B1866">
        <f>4414.46586021452*(3/4)</f>
        <v>3310.8493951608934</v>
      </c>
    </row>
    <row r="1867" spans="1:2" x14ac:dyDescent="0.3">
      <c r="A1867" s="2">
        <v>45735.708333333343</v>
      </c>
      <c r="B1867">
        <f>4104.76552153634*(3/4)</f>
        <v>3078.574141152254</v>
      </c>
    </row>
    <row r="1868" spans="1:2" x14ac:dyDescent="0.3">
      <c r="A1868" s="2">
        <v>45735.75</v>
      </c>
      <c r="B1868">
        <f>4073.1165151455*(3/4)</f>
        <v>3054.8373863591232</v>
      </c>
    </row>
    <row r="1869" spans="1:2" x14ac:dyDescent="0.3">
      <c r="A1869" s="2">
        <v>45735.791666666657</v>
      </c>
      <c r="B1869">
        <f>4136.14138741872*(3/4)</f>
        <v>3102.1060405640387</v>
      </c>
    </row>
    <row r="1870" spans="1:2" x14ac:dyDescent="0.3">
      <c r="A1870" s="2">
        <v>45735.833333333343</v>
      </c>
      <c r="B1870">
        <f>3893.79164007108*(3/4)</f>
        <v>2920.3437300533078</v>
      </c>
    </row>
    <row r="1871" spans="1:2" x14ac:dyDescent="0.3">
      <c r="A1871" s="2">
        <v>45735.875</v>
      </c>
      <c r="B1871">
        <f>3804.53221766971*(3/4)</f>
        <v>2853.3991632522821</v>
      </c>
    </row>
    <row r="1872" spans="1:2" x14ac:dyDescent="0.3">
      <c r="A1872" s="2">
        <v>45735.916666666657</v>
      </c>
      <c r="B1872">
        <f>3869.50969271505*(3/4)</f>
        <v>2902.1322695362846</v>
      </c>
    </row>
    <row r="1873" spans="1:2" x14ac:dyDescent="0.3">
      <c r="A1873" s="2">
        <v>45735.958333333343</v>
      </c>
      <c r="B1873">
        <f>3976.12201951795*(3/4)</f>
        <v>2982.0915146384618</v>
      </c>
    </row>
    <row r="1874" spans="1:2" x14ac:dyDescent="0.3">
      <c r="A1874" s="2">
        <v>45736</v>
      </c>
      <c r="B1874">
        <f>4168.0516395185*(3/4)</f>
        <v>3126.0387296388753</v>
      </c>
    </row>
    <row r="1875" spans="1:2" x14ac:dyDescent="0.3">
      <c r="A1875" s="2">
        <v>45736.041666666657</v>
      </c>
      <c r="B1875">
        <f>3819.05048637478*(3/4)</f>
        <v>2864.2878647810871</v>
      </c>
    </row>
    <row r="1876" spans="1:2" x14ac:dyDescent="0.3">
      <c r="A1876" s="2">
        <v>45736.083333333343</v>
      </c>
      <c r="B1876">
        <f>3763.24752109945*(3/4)</f>
        <v>2822.4356408245876</v>
      </c>
    </row>
    <row r="1877" spans="1:2" x14ac:dyDescent="0.3">
      <c r="A1877" s="2">
        <v>45736.125</v>
      </c>
      <c r="B1877">
        <f>4022.48551815569*(3/4)</f>
        <v>3016.864138616766</v>
      </c>
    </row>
    <row r="1878" spans="1:2" x14ac:dyDescent="0.3">
      <c r="A1878" s="2">
        <v>45736.166666666657</v>
      </c>
      <c r="B1878">
        <f>3922.13971241221*(3/4)</f>
        <v>2941.6047843091606</v>
      </c>
    </row>
    <row r="1879" spans="1:2" x14ac:dyDescent="0.3">
      <c r="A1879" s="2">
        <v>45736.208333333343</v>
      </c>
      <c r="B1879">
        <f>3968.58945477985*(3/4)</f>
        <v>2976.4420910848912</v>
      </c>
    </row>
    <row r="1880" spans="1:2" x14ac:dyDescent="0.3">
      <c r="A1880" s="2">
        <v>45736.25</v>
      </c>
      <c r="B1880">
        <f>3815.96436630871*(3/4)</f>
        <v>2861.9732747315347</v>
      </c>
    </row>
    <row r="1881" spans="1:2" x14ac:dyDescent="0.3">
      <c r="A1881" s="2">
        <v>45736.291666666657</v>
      </c>
      <c r="B1881">
        <f>4208.35296184773*(3/4)</f>
        <v>3156.2647213857963</v>
      </c>
    </row>
    <row r="1882" spans="1:2" x14ac:dyDescent="0.3">
      <c r="A1882" s="2">
        <v>45736.333333333343</v>
      </c>
      <c r="B1882">
        <f>4034.75350357696*(3/4)</f>
        <v>3026.065127682723</v>
      </c>
    </row>
    <row r="1883" spans="1:2" x14ac:dyDescent="0.3">
      <c r="A1883" s="2">
        <v>45736.375</v>
      </c>
      <c r="B1883">
        <f>3932.98763359097*(3/4)</f>
        <v>2949.7407251932259</v>
      </c>
    </row>
    <row r="1884" spans="1:2" x14ac:dyDescent="0.3">
      <c r="A1884" s="2">
        <v>45736.416666666657</v>
      </c>
      <c r="B1884">
        <f>4172.87413836001*(3/4)</f>
        <v>3129.6556037700066</v>
      </c>
    </row>
    <row r="1885" spans="1:2" x14ac:dyDescent="0.3">
      <c r="A1885" s="2">
        <v>45736.458333333343</v>
      </c>
      <c r="B1885">
        <f>4200.60980072503*(3/4)</f>
        <v>3150.4573505437711</v>
      </c>
    </row>
    <row r="1886" spans="1:2" x14ac:dyDescent="0.3">
      <c r="A1886" s="2">
        <v>45736.5</v>
      </c>
      <c r="B1886">
        <f>4103.90125271064*(3/4)</f>
        <v>3077.9259395329764</v>
      </c>
    </row>
    <row r="1887" spans="1:2" x14ac:dyDescent="0.3">
      <c r="A1887" s="2">
        <v>45736.541666666657</v>
      </c>
      <c r="B1887">
        <f>4222.72902086075*(3/4)</f>
        <v>3167.0467656455653</v>
      </c>
    </row>
    <row r="1888" spans="1:2" x14ac:dyDescent="0.3">
      <c r="A1888" s="2">
        <v>45736.583333333343</v>
      </c>
      <c r="B1888">
        <f>3842.5334583949*(3/4)</f>
        <v>2881.9000937961728</v>
      </c>
    </row>
    <row r="1889" spans="1:2" x14ac:dyDescent="0.3">
      <c r="A1889" s="2">
        <v>45736.625</v>
      </c>
      <c r="B1889">
        <f>4173.55465013625*(3/4)</f>
        <v>3130.1659876021872</v>
      </c>
    </row>
    <row r="1890" spans="1:2" x14ac:dyDescent="0.3">
      <c r="A1890" s="2">
        <v>45736.666666666657</v>
      </c>
      <c r="B1890">
        <f>3619.75346375249*(3/4)</f>
        <v>2714.8150978143649</v>
      </c>
    </row>
    <row r="1891" spans="1:2" x14ac:dyDescent="0.3">
      <c r="A1891" s="2">
        <v>45736.708333333343</v>
      </c>
      <c r="B1891">
        <f>4134.55397906241*(3/4)</f>
        <v>3100.9154842968046</v>
      </c>
    </row>
    <row r="1892" spans="1:2" x14ac:dyDescent="0.3">
      <c r="A1892" s="2">
        <v>45736.75</v>
      </c>
      <c r="B1892">
        <f>3842.65673134868*(3/4)</f>
        <v>2881.9925485115086</v>
      </c>
    </row>
    <row r="1893" spans="1:2" x14ac:dyDescent="0.3">
      <c r="A1893" s="2">
        <v>45736.791666666657</v>
      </c>
      <c r="B1893">
        <f>4049.38893306548*(3/4)</f>
        <v>3037.0416997991115</v>
      </c>
    </row>
    <row r="1894" spans="1:2" x14ac:dyDescent="0.3">
      <c r="A1894" s="2">
        <v>45736.833333333343</v>
      </c>
      <c r="B1894">
        <f>3892.63359686367*(3/4)</f>
        <v>2919.4751976477492</v>
      </c>
    </row>
    <row r="1895" spans="1:2" x14ac:dyDescent="0.3">
      <c r="A1895" s="2">
        <v>45736.875</v>
      </c>
      <c r="B1895">
        <f>4205.52757965502*(3/4)</f>
        <v>3154.1456847412637</v>
      </c>
    </row>
    <row r="1896" spans="1:2" x14ac:dyDescent="0.3">
      <c r="A1896" s="2">
        <v>45736.916666666657</v>
      </c>
      <c r="B1896">
        <f>3593.79551920701*(3/4)</f>
        <v>2695.3466394052598</v>
      </c>
    </row>
    <row r="1897" spans="1:2" x14ac:dyDescent="0.3">
      <c r="A1897" s="2">
        <v>45736.958333333343</v>
      </c>
      <c r="B1897">
        <f>3631.16803601449*(3/4)</f>
        <v>2723.3760270108696</v>
      </c>
    </row>
    <row r="1898" spans="1:2" x14ac:dyDescent="0.3">
      <c r="A1898" s="2">
        <v>45737</v>
      </c>
      <c r="B1898">
        <f>4049.55625788855*(3/4)</f>
        <v>3037.1671934164124</v>
      </c>
    </row>
    <row r="1899" spans="1:2" x14ac:dyDescent="0.3">
      <c r="A1899" s="2">
        <v>45737.041666666657</v>
      </c>
      <c r="B1899">
        <f>3824.50123336493*(3/4)</f>
        <v>2868.375925023694</v>
      </c>
    </row>
    <row r="1900" spans="1:2" x14ac:dyDescent="0.3">
      <c r="A1900" s="2">
        <v>45737.083333333343</v>
      </c>
      <c r="B1900">
        <f>4162.47625454744*(3/4)</f>
        <v>3121.8571909105813</v>
      </c>
    </row>
    <row r="1901" spans="1:2" x14ac:dyDescent="0.3">
      <c r="A1901" s="2">
        <v>45737.125</v>
      </c>
      <c r="B1901">
        <f>4084.9790969525*(3/4)</f>
        <v>3063.7343227143765</v>
      </c>
    </row>
    <row r="1902" spans="1:2" x14ac:dyDescent="0.3">
      <c r="A1902" s="2">
        <v>45737.166666666657</v>
      </c>
      <c r="B1902">
        <f>4287.35284089356*(3/4)</f>
        <v>3215.5146306701727</v>
      </c>
    </row>
    <row r="1903" spans="1:2" x14ac:dyDescent="0.3">
      <c r="A1903" s="2">
        <v>45737.208333333343</v>
      </c>
      <c r="B1903">
        <f>4004.77255868287*(3/4)</f>
        <v>3003.5794190121533</v>
      </c>
    </row>
    <row r="1904" spans="1:2" x14ac:dyDescent="0.3">
      <c r="A1904" s="2">
        <v>45737.25</v>
      </c>
      <c r="B1904">
        <f>3860.08384552923*(3/4)</f>
        <v>2895.0628841469238</v>
      </c>
    </row>
    <row r="1905" spans="1:2" x14ac:dyDescent="0.3">
      <c r="A1905" s="2">
        <v>45737.291666666657</v>
      </c>
      <c r="B1905">
        <f>4082.26985716148*(3/4)</f>
        <v>3061.7023928711133</v>
      </c>
    </row>
    <row r="1906" spans="1:2" x14ac:dyDescent="0.3">
      <c r="A1906" s="2">
        <v>45737.333333333343</v>
      </c>
      <c r="B1906">
        <f>4215.64823678061*(3/4)</f>
        <v>3161.7361775854583</v>
      </c>
    </row>
    <row r="1907" spans="1:2" x14ac:dyDescent="0.3">
      <c r="A1907" s="2">
        <v>45737.375</v>
      </c>
      <c r="B1907">
        <f>3991.03594968335*(3/4)</f>
        <v>2993.2769622625133</v>
      </c>
    </row>
    <row r="1908" spans="1:2" x14ac:dyDescent="0.3">
      <c r="A1908" s="2">
        <v>45737.416666666657</v>
      </c>
      <c r="B1908">
        <f>3923.17243007901*(3/4)</f>
        <v>2942.3793225592576</v>
      </c>
    </row>
    <row r="1909" spans="1:2" x14ac:dyDescent="0.3">
      <c r="A1909" s="2">
        <v>45737.458333333343</v>
      </c>
      <c r="B1909">
        <f>4137.91825024792*(3/4)</f>
        <v>3103.4386876859371</v>
      </c>
    </row>
    <row r="1910" spans="1:2" x14ac:dyDescent="0.3">
      <c r="A1910" s="2">
        <v>45737.5</v>
      </c>
      <c r="B1910">
        <f>3743.11288239831*(3/4)</f>
        <v>2807.3346617987354</v>
      </c>
    </row>
    <row r="1911" spans="1:2" x14ac:dyDescent="0.3">
      <c r="A1911" s="2">
        <v>45737.541666666657</v>
      </c>
      <c r="B1911">
        <f>4263.32518186051*(3/4)</f>
        <v>3197.4938863953862</v>
      </c>
    </row>
    <row r="1912" spans="1:2" x14ac:dyDescent="0.3">
      <c r="A1912" s="2">
        <v>45737.583333333343</v>
      </c>
      <c r="B1912">
        <f>3955.50013040033*(3/4)</f>
        <v>2966.6250978002481</v>
      </c>
    </row>
    <row r="1913" spans="1:2" x14ac:dyDescent="0.3">
      <c r="A1913" s="2">
        <v>45737.625</v>
      </c>
      <c r="B1913">
        <f>4089.72009147261*(3/4)</f>
        <v>3067.2900686044604</v>
      </c>
    </row>
    <row r="1914" spans="1:2" x14ac:dyDescent="0.3">
      <c r="A1914" s="2">
        <v>45737.666666666657</v>
      </c>
      <c r="B1914">
        <f>4173.83275029057*(3/4)</f>
        <v>3130.374562717926</v>
      </c>
    </row>
    <row r="1915" spans="1:2" x14ac:dyDescent="0.3">
      <c r="A1915" s="2">
        <v>45737.708333333343</v>
      </c>
      <c r="B1915">
        <f>3766.23210673138*(3/4)</f>
        <v>2824.6740800485381</v>
      </c>
    </row>
    <row r="1916" spans="1:2" x14ac:dyDescent="0.3">
      <c r="A1916" s="2">
        <v>45737.75</v>
      </c>
      <c r="B1916">
        <f>4005.17873192306*(3/4)</f>
        <v>3003.8840489422987</v>
      </c>
    </row>
    <row r="1917" spans="1:2" x14ac:dyDescent="0.3">
      <c r="A1917" s="2">
        <v>45737.791666666657</v>
      </c>
      <c r="B1917">
        <f>4033.12372296063*(3/4)</f>
        <v>3024.8427922204723</v>
      </c>
    </row>
    <row r="1918" spans="1:2" x14ac:dyDescent="0.3">
      <c r="A1918" s="2">
        <v>45737.833333333343</v>
      </c>
      <c r="B1918">
        <f>3823.75608896379*(3/4)</f>
        <v>2867.8170667228424</v>
      </c>
    </row>
    <row r="1919" spans="1:2" x14ac:dyDescent="0.3">
      <c r="A1919" s="2">
        <v>45737.875</v>
      </c>
      <c r="B1919">
        <f>4150.48522653484*(3/4)</f>
        <v>3112.8639199011313</v>
      </c>
    </row>
    <row r="1920" spans="1:2" x14ac:dyDescent="0.3">
      <c r="A1920" s="2">
        <v>45737.916666666657</v>
      </c>
      <c r="B1920">
        <f>3806.11369788095*(3/4)</f>
        <v>2854.5852734107161</v>
      </c>
    </row>
    <row r="1921" spans="1:2" x14ac:dyDescent="0.3">
      <c r="A1921" s="2">
        <v>45737.958333333343</v>
      </c>
      <c r="B1921">
        <f>3760.49160568257*(3/4)</f>
        <v>2820.3687042619304</v>
      </c>
    </row>
    <row r="1922" spans="1:2" x14ac:dyDescent="0.3">
      <c r="A1922" s="2">
        <v>45738</v>
      </c>
      <c r="B1922">
        <f>4177.37233046243*(3/4)</f>
        <v>3133.0292478468205</v>
      </c>
    </row>
    <row r="1923" spans="1:2" x14ac:dyDescent="0.3">
      <c r="A1923" s="2">
        <v>45738.041666666657</v>
      </c>
      <c r="B1923">
        <f>3755.93035400314*(3/4)</f>
        <v>2816.9477655023584</v>
      </c>
    </row>
    <row r="1924" spans="1:2" x14ac:dyDescent="0.3">
      <c r="A1924" s="2">
        <v>45738.083333333343</v>
      </c>
      <c r="B1924">
        <f>4040.71117198039*(3/4)</f>
        <v>3030.5333789852939</v>
      </c>
    </row>
    <row r="1925" spans="1:2" x14ac:dyDescent="0.3">
      <c r="A1925" s="2">
        <v>45738.125</v>
      </c>
      <c r="B1925">
        <f>3973.53278314998*(3/4)</f>
        <v>2980.1495873624872</v>
      </c>
    </row>
    <row r="1926" spans="1:2" x14ac:dyDescent="0.3">
      <c r="A1926" s="2">
        <v>45738.166666666657</v>
      </c>
      <c r="B1926">
        <f>3673.40413857115*(3/4)</f>
        <v>2755.053103928361</v>
      </c>
    </row>
    <row r="1927" spans="1:2" x14ac:dyDescent="0.3">
      <c r="A1927" s="2">
        <v>45738.208333333343</v>
      </c>
      <c r="B1927">
        <f>3865.50088902747*(3/4)</f>
        <v>2899.1256667706048</v>
      </c>
    </row>
    <row r="1928" spans="1:2" x14ac:dyDescent="0.3">
      <c r="A1928" s="2">
        <v>45738.25</v>
      </c>
      <c r="B1928">
        <f>3976.34182247847*(3/4)</f>
        <v>2982.2563668588496</v>
      </c>
    </row>
    <row r="1929" spans="1:2" x14ac:dyDescent="0.3">
      <c r="A1929" s="2">
        <v>45738.291666666657</v>
      </c>
      <c r="B1929">
        <f>4043.96231514103*(3/4)</f>
        <v>3032.971736355772</v>
      </c>
    </row>
    <row r="1930" spans="1:2" x14ac:dyDescent="0.3">
      <c r="A1930" s="2">
        <v>45738.333333333343</v>
      </c>
      <c r="B1930">
        <f>3967.02334540176*(3/4)</f>
        <v>2975.2675090513217</v>
      </c>
    </row>
    <row r="1931" spans="1:2" x14ac:dyDescent="0.3">
      <c r="A1931" s="2">
        <v>45738.375</v>
      </c>
      <c r="B1931">
        <f>4137.86607225315*(3/4)</f>
        <v>3103.3995541898635</v>
      </c>
    </row>
    <row r="1932" spans="1:2" x14ac:dyDescent="0.3">
      <c r="A1932" s="2">
        <v>45738.416666666657</v>
      </c>
      <c r="B1932">
        <f>3906.72793386745*(3/4)</f>
        <v>2930.0459504005876</v>
      </c>
    </row>
    <row r="1933" spans="1:2" x14ac:dyDescent="0.3">
      <c r="A1933" s="2">
        <v>45738.458333333343</v>
      </c>
      <c r="B1933">
        <f>4228.71183713499*(3/4)</f>
        <v>3171.5338778512414</v>
      </c>
    </row>
    <row r="1934" spans="1:2" x14ac:dyDescent="0.3">
      <c r="A1934" s="2">
        <v>45738.5</v>
      </c>
      <c r="B1934">
        <f>4542.05627817255*(3/4)</f>
        <v>3406.5422086294111</v>
      </c>
    </row>
    <row r="1935" spans="1:2" x14ac:dyDescent="0.3">
      <c r="A1935" s="2">
        <v>45738.541666666657</v>
      </c>
      <c r="B1935">
        <f>4261.50777055621*(3/4)</f>
        <v>3196.1308279171567</v>
      </c>
    </row>
    <row r="1936" spans="1:2" x14ac:dyDescent="0.3">
      <c r="A1936" s="2">
        <v>45738.583333333343</v>
      </c>
      <c r="B1936">
        <f>3743.10919725645*(3/4)</f>
        <v>2807.3318979423398</v>
      </c>
    </row>
    <row r="1937" spans="1:2" x14ac:dyDescent="0.3">
      <c r="A1937" s="2">
        <v>45738.625</v>
      </c>
      <c r="B1937">
        <f>3828.17693244677*(3/4)</f>
        <v>2871.132699335074</v>
      </c>
    </row>
    <row r="1938" spans="1:2" x14ac:dyDescent="0.3">
      <c r="A1938" s="2">
        <v>45738.666666666657</v>
      </c>
      <c r="B1938">
        <f>4431.00255918816*(3/4)</f>
        <v>3323.251919391123</v>
      </c>
    </row>
    <row r="1939" spans="1:2" x14ac:dyDescent="0.3">
      <c r="A1939" s="2">
        <v>45738.708333333343</v>
      </c>
      <c r="B1939">
        <f>4235.04892583448*(3/4)</f>
        <v>3176.28669437586</v>
      </c>
    </row>
    <row r="1940" spans="1:2" x14ac:dyDescent="0.3">
      <c r="A1940" s="2">
        <v>45738.75</v>
      </c>
      <c r="B1940">
        <f>3770.90959263715*(3/4)</f>
        <v>2828.182194477859</v>
      </c>
    </row>
    <row r="1941" spans="1:2" x14ac:dyDescent="0.3">
      <c r="A1941" s="2">
        <v>45738.791666666657</v>
      </c>
      <c r="B1941">
        <f>3835.43548768561*(3/4)</f>
        <v>2876.576615764207</v>
      </c>
    </row>
    <row r="1942" spans="1:2" x14ac:dyDescent="0.3">
      <c r="A1942" s="2">
        <v>45738.833333333343</v>
      </c>
      <c r="B1942">
        <f>4321.98704234788*(3/4)</f>
        <v>3241.4902817609077</v>
      </c>
    </row>
    <row r="1943" spans="1:2" x14ac:dyDescent="0.3">
      <c r="A1943" s="2">
        <v>45738.875</v>
      </c>
      <c r="B1943">
        <f>4105.30061937998*(3/4)</f>
        <v>3078.975464534984</v>
      </c>
    </row>
    <row r="1944" spans="1:2" x14ac:dyDescent="0.3">
      <c r="A1944" s="2">
        <v>45738.916666666657</v>
      </c>
      <c r="B1944">
        <f>3887.20378435054*(3/4)</f>
        <v>2915.4028382629049</v>
      </c>
    </row>
    <row r="1945" spans="1:2" x14ac:dyDescent="0.3">
      <c r="A1945" s="2">
        <v>45738.958333333343</v>
      </c>
      <c r="B1945">
        <f>4127.62839170755*(3/4)</f>
        <v>3095.7212937806603</v>
      </c>
    </row>
    <row r="1946" spans="1:2" x14ac:dyDescent="0.3">
      <c r="A1946" s="2">
        <v>45739</v>
      </c>
      <c r="B1946">
        <f>3837.11122844766*(3/4)</f>
        <v>2877.8334213357484</v>
      </c>
    </row>
    <row r="1947" spans="1:2" x14ac:dyDescent="0.3">
      <c r="A1947" s="2">
        <v>45739.041666666657</v>
      </c>
      <c r="B1947">
        <f>3841.17272815918*(3/4)</f>
        <v>2880.8795461193868</v>
      </c>
    </row>
    <row r="1948" spans="1:2" x14ac:dyDescent="0.3">
      <c r="A1948" s="2">
        <v>45739.083333333343</v>
      </c>
      <c r="B1948">
        <f>3610.55429399053*(3/4)</f>
        <v>2707.9157204928993</v>
      </c>
    </row>
    <row r="1949" spans="1:2" x14ac:dyDescent="0.3">
      <c r="A1949" s="2">
        <v>45739.125</v>
      </c>
      <c r="B1949">
        <f>3671.30879365928*(3/4)</f>
        <v>2753.4815952444583</v>
      </c>
    </row>
    <row r="1950" spans="1:2" x14ac:dyDescent="0.3">
      <c r="A1950" s="2">
        <v>45739.166666666657</v>
      </c>
      <c r="B1950">
        <f>3881.22664654178*(3/4)</f>
        <v>2910.919984906332</v>
      </c>
    </row>
    <row r="1951" spans="1:2" x14ac:dyDescent="0.3">
      <c r="A1951" s="2">
        <v>45739.208333333343</v>
      </c>
      <c r="B1951">
        <f>3761.77262303965*(3/4)</f>
        <v>2821.3294672797351</v>
      </c>
    </row>
    <row r="1952" spans="1:2" x14ac:dyDescent="0.3">
      <c r="A1952" s="2">
        <v>45739.25</v>
      </c>
      <c r="B1952">
        <f>3865.54056358124*(3/4)</f>
        <v>2899.155422685933</v>
      </c>
    </row>
    <row r="1953" spans="1:2" x14ac:dyDescent="0.3">
      <c r="A1953" s="2">
        <v>45739.291666666657</v>
      </c>
      <c r="B1953">
        <f>4208.44580666559*(3/4)</f>
        <v>3156.3343549991896</v>
      </c>
    </row>
    <row r="1954" spans="1:2" x14ac:dyDescent="0.3">
      <c r="A1954" s="2">
        <v>45739.333333333343</v>
      </c>
      <c r="B1954">
        <f>3263.88823524857*(3/4)</f>
        <v>2447.9161764364285</v>
      </c>
    </row>
    <row r="1955" spans="1:2" x14ac:dyDescent="0.3">
      <c r="A1955" s="2">
        <v>45739.375</v>
      </c>
      <c r="B1955">
        <f>3119.13712682704*(3/4)</f>
        <v>2339.3528451202774</v>
      </c>
    </row>
    <row r="1956" spans="1:2" x14ac:dyDescent="0.3">
      <c r="A1956" s="2">
        <v>45739.416666666657</v>
      </c>
      <c r="B1956">
        <f>3100.13400330825*(3/4)</f>
        <v>2325.1005024811875</v>
      </c>
    </row>
    <row r="1957" spans="1:2" x14ac:dyDescent="0.3">
      <c r="A1957" s="2">
        <v>45739.458333333343</v>
      </c>
      <c r="B1957">
        <f>3238.4592660681*(3/4)</f>
        <v>2428.8444495510767</v>
      </c>
    </row>
    <row r="1958" spans="1:2" x14ac:dyDescent="0.3">
      <c r="A1958" s="2">
        <v>45739.5</v>
      </c>
      <c r="B1958">
        <f>3128.69626885395*(3/4)</f>
        <v>2346.5222016404605</v>
      </c>
    </row>
    <row r="1959" spans="1:2" x14ac:dyDescent="0.3">
      <c r="A1959" s="2">
        <v>45739.541666666657</v>
      </c>
      <c r="B1959">
        <f>3577.52497654881*(3/4)</f>
        <v>2683.143732411605</v>
      </c>
    </row>
    <row r="1960" spans="1:2" x14ac:dyDescent="0.3">
      <c r="A1960" s="2">
        <v>45739.583333333343</v>
      </c>
      <c r="B1960">
        <f>2970.16414561285*(3/4)</f>
        <v>2227.6231092096382</v>
      </c>
    </row>
    <row r="1961" spans="1:2" x14ac:dyDescent="0.3">
      <c r="A1961" s="2">
        <v>45739.625</v>
      </c>
      <c r="B1961">
        <f>3342.51422987584*(3/4)</f>
        <v>2506.8856724068764</v>
      </c>
    </row>
    <row r="1962" spans="1:2" x14ac:dyDescent="0.3">
      <c r="A1962" s="2">
        <v>45739.666666666657</v>
      </c>
      <c r="B1962">
        <f>3460.43822192534*(3/4)</f>
        <v>2595.3286664440066</v>
      </c>
    </row>
    <row r="1963" spans="1:2" x14ac:dyDescent="0.3">
      <c r="A1963" s="2">
        <v>45739.708333333343</v>
      </c>
      <c r="B1963">
        <f>4031.9978880712*(3/4)</f>
        <v>3023.9984160533995</v>
      </c>
    </row>
    <row r="1964" spans="1:2" x14ac:dyDescent="0.3">
      <c r="A1964" s="2">
        <v>45739.75</v>
      </c>
      <c r="B1964">
        <f>4396.0257998544*(3/4)</f>
        <v>3297.0193498908029</v>
      </c>
    </row>
    <row r="1965" spans="1:2" x14ac:dyDescent="0.3">
      <c r="A1965" s="2">
        <v>45739.791666666657</v>
      </c>
      <c r="B1965">
        <f>4031.49119711015*(3/4)</f>
        <v>3023.6183978326108</v>
      </c>
    </row>
    <row r="1966" spans="1:2" x14ac:dyDescent="0.3">
      <c r="A1966" s="2">
        <v>45739.833333333343</v>
      </c>
      <c r="B1966">
        <f>4091.92311887238*(3/4)</f>
        <v>3068.9423391542864</v>
      </c>
    </row>
    <row r="1967" spans="1:2" x14ac:dyDescent="0.3">
      <c r="A1967" s="2">
        <v>45739.875</v>
      </c>
      <c r="B1967">
        <f>3933.67357257427*(3/4)</f>
        <v>2950.2551794307046</v>
      </c>
    </row>
    <row r="1968" spans="1:2" x14ac:dyDescent="0.3">
      <c r="A1968" s="2">
        <v>45739.916666666657</v>
      </c>
      <c r="B1968">
        <f>3692.4577429278*(3/4)</f>
        <v>2769.3433071958489</v>
      </c>
    </row>
    <row r="1969" spans="1:2" x14ac:dyDescent="0.3">
      <c r="A1969" s="2">
        <v>45739.958333333343</v>
      </c>
      <c r="B1969">
        <f>3981.92698887772*(3/4)</f>
        <v>2986.4452416582931</v>
      </c>
    </row>
    <row r="1970" spans="1:2" x14ac:dyDescent="0.3">
      <c r="A1970" s="2">
        <v>45740</v>
      </c>
      <c r="B1970">
        <f>3667.65754847975*(3/4)</f>
        <v>2750.7431613598123</v>
      </c>
    </row>
    <row r="1971" spans="1:2" x14ac:dyDescent="0.3">
      <c r="A1971" s="2">
        <v>45740.041666666657</v>
      </c>
      <c r="B1971">
        <f>3807.55958653369*(3/4)</f>
        <v>2855.6696899002663</v>
      </c>
    </row>
    <row r="1972" spans="1:2" x14ac:dyDescent="0.3">
      <c r="A1972" s="2">
        <v>45740.083333333343</v>
      </c>
      <c r="B1972">
        <f>3968.21975042739*(3/4)</f>
        <v>2976.1648128205406</v>
      </c>
    </row>
    <row r="1973" spans="1:2" x14ac:dyDescent="0.3">
      <c r="A1973" s="2">
        <v>45740.125</v>
      </c>
      <c r="B1973">
        <f>3987.99000431871*(3/4)</f>
        <v>2990.9925032390361</v>
      </c>
    </row>
    <row r="1974" spans="1:2" x14ac:dyDescent="0.3">
      <c r="A1974" s="2">
        <v>45740.166666666657</v>
      </c>
      <c r="B1974">
        <f>3869.79212576265*(3/4)</f>
        <v>2902.3440943219912</v>
      </c>
    </row>
    <row r="1975" spans="1:2" x14ac:dyDescent="0.3">
      <c r="A1975" s="2">
        <v>45740.208333333343</v>
      </c>
      <c r="B1975">
        <f>3982.60972499876*(3/4)</f>
        <v>2986.9572937490693</v>
      </c>
    </row>
    <row r="1976" spans="1:2" x14ac:dyDescent="0.3">
      <c r="A1976" s="2">
        <v>45740.25</v>
      </c>
      <c r="B1976">
        <f>3998.01824393592*(3/4)</f>
        <v>2998.513682951937</v>
      </c>
    </row>
    <row r="1977" spans="1:2" x14ac:dyDescent="0.3">
      <c r="A1977" s="2">
        <v>45740.291666666657</v>
      </c>
      <c r="B1977">
        <f>4098.24391577112*(3/4)</f>
        <v>3073.6829368283406</v>
      </c>
    </row>
    <row r="1978" spans="1:2" x14ac:dyDescent="0.3">
      <c r="A1978" s="2">
        <v>45740.333333333343</v>
      </c>
      <c r="B1978">
        <f>3989.96489386159*(3/4)</f>
        <v>2992.4736703961889</v>
      </c>
    </row>
    <row r="1979" spans="1:2" x14ac:dyDescent="0.3">
      <c r="A1979" s="2">
        <v>45740.375</v>
      </c>
      <c r="B1979">
        <f>4039.6570162268*(3/4)</f>
        <v>3029.7427621701022</v>
      </c>
    </row>
    <row r="1980" spans="1:2" x14ac:dyDescent="0.3">
      <c r="A1980" s="2">
        <v>45740.416666666657</v>
      </c>
      <c r="B1980">
        <f>4244.73636247372*(3/4)</f>
        <v>3183.5522718552893</v>
      </c>
    </row>
    <row r="1981" spans="1:2" x14ac:dyDescent="0.3">
      <c r="A1981" s="2">
        <v>45740.458333333343</v>
      </c>
      <c r="B1981">
        <f>4251.78823048299*(3/4)</f>
        <v>3188.8411728622395</v>
      </c>
    </row>
    <row r="1982" spans="1:2" x14ac:dyDescent="0.3">
      <c r="A1982" s="2">
        <v>45740.5</v>
      </c>
      <c r="B1982">
        <f>4208.90542487784*(3/4)</f>
        <v>3156.679068658379</v>
      </c>
    </row>
    <row r="1983" spans="1:2" x14ac:dyDescent="0.3">
      <c r="A1983" s="2">
        <v>45740.541666666657</v>
      </c>
      <c r="B1983">
        <f>3862.89842063768*(3/4)</f>
        <v>2897.1738154782638</v>
      </c>
    </row>
    <row r="1984" spans="1:2" x14ac:dyDescent="0.3">
      <c r="A1984" s="2">
        <v>45740.583333333343</v>
      </c>
      <c r="B1984">
        <f>3906.69845104989*(3/4)</f>
        <v>2930.0238382874168</v>
      </c>
    </row>
    <row r="1985" spans="1:2" x14ac:dyDescent="0.3">
      <c r="A1985" s="2">
        <v>45740.625</v>
      </c>
      <c r="B1985">
        <f>3862.72384921642*(3/4)</f>
        <v>2897.0428869123143</v>
      </c>
    </row>
    <row r="1986" spans="1:2" x14ac:dyDescent="0.3">
      <c r="A1986" s="2">
        <v>45740.666666666657</v>
      </c>
      <c r="B1986">
        <f>3847.36336012903*(3/4)</f>
        <v>2885.5225200967698</v>
      </c>
    </row>
    <row r="1987" spans="1:2" x14ac:dyDescent="0.3">
      <c r="A1987" s="2">
        <v>45740.708333333343</v>
      </c>
      <c r="B1987">
        <f>3695.33726873692*(3/4)</f>
        <v>2771.5029515526903</v>
      </c>
    </row>
    <row r="1988" spans="1:2" x14ac:dyDescent="0.3">
      <c r="A1988" s="2">
        <v>45740.75</v>
      </c>
      <c r="B1988">
        <f>3823.08747129039*(3/4)</f>
        <v>2867.3156034677909</v>
      </c>
    </row>
    <row r="1989" spans="1:2" x14ac:dyDescent="0.3">
      <c r="A1989" s="2">
        <v>45740.791666666657</v>
      </c>
      <c r="B1989">
        <f>3959.57204035139*(3/4)</f>
        <v>2969.67903026354</v>
      </c>
    </row>
    <row r="1990" spans="1:2" x14ac:dyDescent="0.3">
      <c r="A1990" s="2">
        <v>45740.833333333343</v>
      </c>
      <c r="B1990">
        <f>3941.93772520925*(3/4)</f>
        <v>2956.4532939069354</v>
      </c>
    </row>
    <row r="1991" spans="1:2" x14ac:dyDescent="0.3">
      <c r="A1991" s="2">
        <v>45740.875</v>
      </c>
      <c r="B1991">
        <f>4166.1542844378*(3/4)</f>
        <v>3124.6157133283496</v>
      </c>
    </row>
    <row r="1992" spans="1:2" x14ac:dyDescent="0.3">
      <c r="A1992" s="2">
        <v>45740.916666666657</v>
      </c>
      <c r="B1992">
        <f>3835.32683715431*(3/4)</f>
        <v>2876.4951278657309</v>
      </c>
    </row>
    <row r="1993" spans="1:2" x14ac:dyDescent="0.3">
      <c r="A1993" s="2">
        <v>45740.958333333343</v>
      </c>
      <c r="B1993">
        <f>4018.46802506686*(3/4)</f>
        <v>3013.8510188001428</v>
      </c>
    </row>
    <row r="1994" spans="1:2" x14ac:dyDescent="0.3">
      <c r="A1994" s="2">
        <v>45741</v>
      </c>
      <c r="B1994">
        <f>3642.87109697053*(3/4)</f>
        <v>2732.1533227278983</v>
      </c>
    </row>
    <row r="1995" spans="1:2" x14ac:dyDescent="0.3">
      <c r="A1995" s="2">
        <v>45741.041666666657</v>
      </c>
      <c r="B1995">
        <f>3971.54914369395*(3/4)</f>
        <v>2978.6618577704603</v>
      </c>
    </row>
    <row r="1996" spans="1:2" x14ac:dyDescent="0.3">
      <c r="A1996" s="2">
        <v>45741.083333333343</v>
      </c>
      <c r="B1996">
        <f>3900.87585051951*(3/4)</f>
        <v>2925.656887889631</v>
      </c>
    </row>
    <row r="1997" spans="1:2" x14ac:dyDescent="0.3">
      <c r="A1997" s="2">
        <v>45741.125</v>
      </c>
      <c r="B1997">
        <f>3753.01489901657*(3/4)</f>
        <v>2814.7611742624299</v>
      </c>
    </row>
    <row r="1998" spans="1:2" x14ac:dyDescent="0.3">
      <c r="A1998" s="2">
        <v>45741.166666666657</v>
      </c>
      <c r="B1998">
        <f>4153.75985717258*(3/4)</f>
        <v>3115.3198928794318</v>
      </c>
    </row>
    <row r="1999" spans="1:2" x14ac:dyDescent="0.3">
      <c r="A1999" s="2">
        <v>45741.208333333343</v>
      </c>
      <c r="B1999">
        <f>3855.86643909697*(3/4)</f>
        <v>2891.8998293227269</v>
      </c>
    </row>
    <row r="2000" spans="1:2" x14ac:dyDescent="0.3">
      <c r="A2000" s="2">
        <v>45741.25</v>
      </c>
      <c r="B2000">
        <f>3558.77947134591*(3/4)</f>
        <v>2669.0846035094332</v>
      </c>
    </row>
    <row r="2001" spans="1:2" x14ac:dyDescent="0.3">
      <c r="A2001" s="2">
        <v>45741.291666666657</v>
      </c>
      <c r="B2001">
        <f>3889.11572455924*(3/4)</f>
        <v>2916.8367934194293</v>
      </c>
    </row>
    <row r="2002" spans="1:2" x14ac:dyDescent="0.3">
      <c r="A2002" s="2">
        <v>45741.333333333343</v>
      </c>
      <c r="B2002">
        <f>3991.86129619989*(3/4)</f>
        <v>2993.8959721499205</v>
      </c>
    </row>
    <row r="2003" spans="1:2" x14ac:dyDescent="0.3">
      <c r="A2003" s="2">
        <v>45741.375</v>
      </c>
      <c r="B2003">
        <f>4217.47776253491*(3/4)</f>
        <v>3163.1083219011807</v>
      </c>
    </row>
    <row r="2004" spans="1:2" x14ac:dyDescent="0.3">
      <c r="A2004" s="2">
        <v>45741.416666666657</v>
      </c>
      <c r="B2004">
        <f>3884.86756770902*(3/4)</f>
        <v>2913.6506757817674</v>
      </c>
    </row>
    <row r="2005" spans="1:2" x14ac:dyDescent="0.3">
      <c r="A2005" s="2">
        <v>45741.458333333343</v>
      </c>
      <c r="B2005">
        <f>3978.019405257*(3/4)</f>
        <v>2983.5145539427499</v>
      </c>
    </row>
    <row r="2006" spans="1:2" x14ac:dyDescent="0.3">
      <c r="A2006" s="2">
        <v>45741.5</v>
      </c>
      <c r="B2006">
        <f>3894.79650984117*(3/4)</f>
        <v>2921.0973823808736</v>
      </c>
    </row>
    <row r="2007" spans="1:2" x14ac:dyDescent="0.3">
      <c r="A2007" s="2">
        <v>45741.541666666657</v>
      </c>
      <c r="B2007">
        <f>4000.19004540697*(3/4)</f>
        <v>3000.1425340552296</v>
      </c>
    </row>
    <row r="2008" spans="1:2" x14ac:dyDescent="0.3">
      <c r="A2008" s="2">
        <v>45741.583333333343</v>
      </c>
      <c r="B2008">
        <f>3603.91128003162*(3/4)</f>
        <v>2702.9334600237125</v>
      </c>
    </row>
    <row r="2009" spans="1:2" x14ac:dyDescent="0.3">
      <c r="A2009" s="2">
        <v>45741.625</v>
      </c>
      <c r="B2009">
        <f>3924.09855821567*(3/4)</f>
        <v>2943.0739186617539</v>
      </c>
    </row>
    <row r="2010" spans="1:2" x14ac:dyDescent="0.3">
      <c r="A2010" s="2">
        <v>45741.666666666657</v>
      </c>
      <c r="B2010">
        <f>3839.08059776669*(3/4)</f>
        <v>2879.3104483250168</v>
      </c>
    </row>
    <row r="2011" spans="1:2" x14ac:dyDescent="0.3">
      <c r="A2011" s="2">
        <v>45741.708333333343</v>
      </c>
      <c r="B2011">
        <f>3908.14257672781*(3/4)</f>
        <v>2931.1069325458575</v>
      </c>
    </row>
    <row r="2012" spans="1:2" x14ac:dyDescent="0.3">
      <c r="A2012" s="2">
        <v>45741.75</v>
      </c>
      <c r="B2012">
        <f>4268.80528426441*(3/4)</f>
        <v>3201.6039631983085</v>
      </c>
    </row>
    <row r="2013" spans="1:2" x14ac:dyDescent="0.3">
      <c r="A2013" s="2">
        <v>45741.791666666657</v>
      </c>
      <c r="B2013">
        <f>3717.57727622758*(3/4)</f>
        <v>2788.1829571706821</v>
      </c>
    </row>
    <row r="2014" spans="1:2" x14ac:dyDescent="0.3">
      <c r="A2014" s="2">
        <v>45741.833333333343</v>
      </c>
      <c r="B2014">
        <f>3859.72762810166*(3/4)</f>
        <v>2894.7957210762429</v>
      </c>
    </row>
    <row r="2015" spans="1:2" x14ac:dyDescent="0.3">
      <c r="A2015" s="2">
        <v>45741.875</v>
      </c>
      <c r="B2015">
        <f>3902.6981625029*(3/4)</f>
        <v>2927.0236218771761</v>
      </c>
    </row>
    <row r="2016" spans="1:2" x14ac:dyDescent="0.3">
      <c r="A2016" s="2">
        <v>45741.916666666657</v>
      </c>
      <c r="B2016">
        <f>4050.36497874061*(3/4)</f>
        <v>3037.7737340554595</v>
      </c>
    </row>
    <row r="2017" spans="1:2" x14ac:dyDescent="0.3">
      <c r="A2017" s="2">
        <v>45741.958333333343</v>
      </c>
      <c r="B2017">
        <f>3778.81180610475*(3/4)</f>
        <v>2834.1088545785647</v>
      </c>
    </row>
    <row r="2018" spans="1:2" x14ac:dyDescent="0.3">
      <c r="A2018" s="2">
        <v>45742</v>
      </c>
      <c r="B2018">
        <f>4285.85288821884*(3/4)</f>
        <v>3214.3896661641288</v>
      </c>
    </row>
    <row r="2019" spans="1:2" x14ac:dyDescent="0.3">
      <c r="A2019" s="2">
        <v>45742.041666666657</v>
      </c>
      <c r="B2019">
        <f>3968.12480760675*(3/4)</f>
        <v>2976.0936057050603</v>
      </c>
    </row>
    <row r="2020" spans="1:2" x14ac:dyDescent="0.3">
      <c r="A2020" s="2">
        <v>45742.083333333343</v>
      </c>
      <c r="B2020">
        <f>4015.12570787588*(3/4)</f>
        <v>3011.3442809069079</v>
      </c>
    </row>
    <row r="2021" spans="1:2" x14ac:dyDescent="0.3">
      <c r="A2021" s="2">
        <v>45742.125</v>
      </c>
      <c r="B2021">
        <f>3986.41913539889*(3/4)</f>
        <v>2989.8143515491674</v>
      </c>
    </row>
    <row r="2022" spans="1:2" x14ac:dyDescent="0.3">
      <c r="A2022" s="2">
        <v>45742.166666666657</v>
      </c>
      <c r="B2022">
        <f>4083.4477771399*(3/4)</f>
        <v>3062.5858328549239</v>
      </c>
    </row>
    <row r="2023" spans="1:2" x14ac:dyDescent="0.3">
      <c r="A2023" s="2">
        <v>45742.208333333343</v>
      </c>
      <c r="B2023">
        <f>3828.91574462988*(3/4)</f>
        <v>2871.6868084724065</v>
      </c>
    </row>
    <row r="2024" spans="1:2" x14ac:dyDescent="0.3">
      <c r="A2024" s="2">
        <v>45742.25</v>
      </c>
      <c r="B2024">
        <f>3684.97735902865*(3/4)</f>
        <v>2763.7330192714853</v>
      </c>
    </row>
    <row r="2025" spans="1:2" x14ac:dyDescent="0.3">
      <c r="A2025" s="2">
        <v>45742.291666666657</v>
      </c>
      <c r="B2025">
        <f>3956.99457158747*(3/4)</f>
        <v>2967.7459286906042</v>
      </c>
    </row>
    <row r="2026" spans="1:2" x14ac:dyDescent="0.3">
      <c r="A2026" s="2">
        <v>45742.333333333343</v>
      </c>
      <c r="B2026">
        <f>4226.78775076206*(3/4)</f>
        <v>3170.0908130715452</v>
      </c>
    </row>
    <row r="2027" spans="1:2" x14ac:dyDescent="0.3">
      <c r="A2027" s="2">
        <v>45742.375</v>
      </c>
      <c r="B2027">
        <f>4320.9521549706*(3/4)</f>
        <v>3240.7141162279495</v>
      </c>
    </row>
    <row r="2028" spans="1:2" x14ac:dyDescent="0.3">
      <c r="A2028" s="2">
        <v>45742.416666666657</v>
      </c>
      <c r="B2028">
        <f>3901.23432143576*(3/4)</f>
        <v>2925.9257410768178</v>
      </c>
    </row>
    <row r="2029" spans="1:2" x14ac:dyDescent="0.3">
      <c r="A2029" s="2">
        <v>45742.458333333343</v>
      </c>
      <c r="B2029">
        <f>4098.09932951121*(3/4)</f>
        <v>3073.574497133407</v>
      </c>
    </row>
    <row r="2030" spans="1:2" x14ac:dyDescent="0.3">
      <c r="A2030" s="2">
        <v>45742.5</v>
      </c>
      <c r="B2030">
        <f>4017.66784455896*(3/4)</f>
        <v>3013.2508834192208</v>
      </c>
    </row>
    <row r="2031" spans="1:2" x14ac:dyDescent="0.3">
      <c r="A2031" s="2">
        <v>45742.541666666657</v>
      </c>
      <c r="B2031">
        <f>3784.76554168047*(3/4)</f>
        <v>2838.5741562603539</v>
      </c>
    </row>
    <row r="2032" spans="1:2" x14ac:dyDescent="0.3">
      <c r="A2032" s="2">
        <v>45742.583333333343</v>
      </c>
      <c r="B2032">
        <f>3567.54375942529*(3/4)</f>
        <v>2675.6578195689681</v>
      </c>
    </row>
    <row r="2033" spans="1:2" x14ac:dyDescent="0.3">
      <c r="A2033" s="2">
        <v>45742.625</v>
      </c>
      <c r="B2033">
        <f>4139.91083368605*(3/4)</f>
        <v>3104.9331252645379</v>
      </c>
    </row>
    <row r="2034" spans="1:2" x14ac:dyDescent="0.3">
      <c r="A2034" s="2">
        <v>45742.666666666657</v>
      </c>
      <c r="B2034">
        <f>4232.70841901056*(3/4)</f>
        <v>3174.5313142579189</v>
      </c>
    </row>
    <row r="2035" spans="1:2" x14ac:dyDescent="0.3">
      <c r="A2035" s="2">
        <v>45742.708333333343</v>
      </c>
      <c r="B2035">
        <f>3929.19125757469*(3/4)</f>
        <v>2946.8934431810194</v>
      </c>
    </row>
    <row r="2036" spans="1:2" x14ac:dyDescent="0.3">
      <c r="A2036" s="2">
        <v>45742.75</v>
      </c>
      <c r="B2036">
        <f>4190.43454478709*(3/4)</f>
        <v>3142.8259085903173</v>
      </c>
    </row>
    <row r="2037" spans="1:2" x14ac:dyDescent="0.3">
      <c r="A2037" s="2">
        <v>45742.791666666657</v>
      </c>
      <c r="B2037">
        <f>4165.88372557183*(3/4)</f>
        <v>3124.4127941788711</v>
      </c>
    </row>
    <row r="2038" spans="1:2" x14ac:dyDescent="0.3">
      <c r="A2038" s="2">
        <v>45742.833333333343</v>
      </c>
      <c r="B2038">
        <f>4299.498583616*(3/4)</f>
        <v>3224.6239377120037</v>
      </c>
    </row>
    <row r="2039" spans="1:2" x14ac:dyDescent="0.3">
      <c r="A2039" s="2">
        <v>45742.875</v>
      </c>
      <c r="B2039">
        <f>4062.4350126044*(3/4)</f>
        <v>3046.8262594532985</v>
      </c>
    </row>
    <row r="2040" spans="1:2" x14ac:dyDescent="0.3">
      <c r="A2040" s="2">
        <v>45742.916666666657</v>
      </c>
      <c r="B2040">
        <f>3568.49366343894*(3/4)</f>
        <v>2676.3702475792052</v>
      </c>
    </row>
    <row r="2041" spans="1:2" x14ac:dyDescent="0.3">
      <c r="A2041" s="2">
        <v>45742.958333333343</v>
      </c>
      <c r="B2041">
        <f>4061.49056301355*(3/4)</f>
        <v>3046.1179222601631</v>
      </c>
    </row>
    <row r="2042" spans="1:2" x14ac:dyDescent="0.3">
      <c r="A2042" s="2">
        <v>45743</v>
      </c>
      <c r="B2042">
        <f>3608.91819354893*(3/4)</f>
        <v>2706.6886451616938</v>
      </c>
    </row>
    <row r="2043" spans="1:2" x14ac:dyDescent="0.3">
      <c r="A2043" s="2">
        <v>45743.041666666657</v>
      </c>
      <c r="B2043">
        <f>4131.38341462514*(3/4)</f>
        <v>3098.5375609688572</v>
      </c>
    </row>
    <row r="2044" spans="1:2" x14ac:dyDescent="0.3">
      <c r="A2044" s="2">
        <v>45743.083333333343</v>
      </c>
      <c r="B2044">
        <f>3679.267652929*(3/4)</f>
        <v>2759.4507396967515</v>
      </c>
    </row>
    <row r="2045" spans="1:2" x14ac:dyDescent="0.3">
      <c r="A2045" s="2">
        <v>45743.125</v>
      </c>
      <c r="B2045">
        <f>4227.37851510858*(3/4)</f>
        <v>3170.533886331436</v>
      </c>
    </row>
    <row r="2046" spans="1:2" x14ac:dyDescent="0.3">
      <c r="A2046" s="2">
        <v>45743.166666666657</v>
      </c>
      <c r="B2046">
        <f>3886.50376553683*(3/4)</f>
        <v>2914.8778241526197</v>
      </c>
    </row>
    <row r="2047" spans="1:2" x14ac:dyDescent="0.3">
      <c r="A2047" s="2">
        <v>45743.208333333343</v>
      </c>
      <c r="B2047">
        <f>4228.37329879481*(3/4)</f>
        <v>3171.2799740961045</v>
      </c>
    </row>
    <row r="2048" spans="1:2" x14ac:dyDescent="0.3">
      <c r="A2048" s="2">
        <v>45743.25</v>
      </c>
      <c r="B2048">
        <f>3733.64173564858*(3/4)</f>
        <v>2800.2313017364318</v>
      </c>
    </row>
    <row r="2049" spans="1:2" x14ac:dyDescent="0.3">
      <c r="A2049" s="2">
        <v>45743.291666666657</v>
      </c>
      <c r="B2049">
        <f>3979.77844251324*(3/4)</f>
        <v>2984.8338318849328</v>
      </c>
    </row>
    <row r="2050" spans="1:2" x14ac:dyDescent="0.3">
      <c r="A2050" s="2">
        <v>45743.333333333343</v>
      </c>
      <c r="B2050">
        <f>4142.80157943021*(3/4)</f>
        <v>3107.1011845726589</v>
      </c>
    </row>
    <row r="2051" spans="1:2" x14ac:dyDescent="0.3">
      <c r="A2051" s="2">
        <v>45743.375</v>
      </c>
      <c r="B2051">
        <f>4248.44453299939*(3/4)</f>
        <v>3186.3333997495442</v>
      </c>
    </row>
    <row r="2052" spans="1:2" x14ac:dyDescent="0.3">
      <c r="A2052" s="2">
        <v>45743.416666666657</v>
      </c>
      <c r="B2052">
        <f>3986.4356168057*(3/4)</f>
        <v>2989.8267126042779</v>
      </c>
    </row>
    <row r="2053" spans="1:2" x14ac:dyDescent="0.3">
      <c r="A2053" s="2">
        <v>45743.458333333343</v>
      </c>
      <c r="B2053">
        <f>4027.9061802025*(3/4)</f>
        <v>3020.9296351518774</v>
      </c>
    </row>
    <row r="2054" spans="1:2" x14ac:dyDescent="0.3">
      <c r="A2054" s="2">
        <v>45743.5</v>
      </c>
      <c r="B2054">
        <f>4023.60791858771*(3/4)</f>
        <v>3017.7059389407846</v>
      </c>
    </row>
    <row r="2055" spans="1:2" x14ac:dyDescent="0.3">
      <c r="A2055" s="2">
        <v>45743.541666666657</v>
      </c>
      <c r="B2055">
        <f>4071.2588291797*(3/4)</f>
        <v>3053.4441218847728</v>
      </c>
    </row>
    <row r="2056" spans="1:2" x14ac:dyDescent="0.3">
      <c r="A2056" s="2">
        <v>45743.583333333343</v>
      </c>
      <c r="B2056">
        <f>3884.1142792352*(3/4)</f>
        <v>2913.0857094263993</v>
      </c>
    </row>
    <row r="2057" spans="1:2" x14ac:dyDescent="0.3">
      <c r="A2057" s="2">
        <v>45743.625</v>
      </c>
      <c r="B2057">
        <f>4152.89005077568*(3/4)</f>
        <v>3114.6675380817614</v>
      </c>
    </row>
    <row r="2058" spans="1:2" x14ac:dyDescent="0.3">
      <c r="A2058" s="2">
        <v>45743.666666666657</v>
      </c>
      <c r="B2058">
        <f>4086.51835031397*(3/4)</f>
        <v>3064.8887627354743</v>
      </c>
    </row>
    <row r="2059" spans="1:2" x14ac:dyDescent="0.3">
      <c r="A2059" s="2">
        <v>45743.708333333343</v>
      </c>
      <c r="B2059">
        <f>3928.4839526591*(3/4)</f>
        <v>2946.362964494323</v>
      </c>
    </row>
    <row r="2060" spans="1:2" x14ac:dyDescent="0.3">
      <c r="A2060" s="2">
        <v>45743.75</v>
      </c>
      <c r="B2060">
        <f>3969.66470133883*(3/4)</f>
        <v>2977.2485260041249</v>
      </c>
    </row>
    <row r="2061" spans="1:2" x14ac:dyDescent="0.3">
      <c r="A2061" s="2">
        <v>45743.791666666657</v>
      </c>
      <c r="B2061">
        <f>4155.73347220039*(3/4)</f>
        <v>3116.8001041502916</v>
      </c>
    </row>
    <row r="2062" spans="1:2" x14ac:dyDescent="0.3">
      <c r="A2062" s="2">
        <v>45743.833333333343</v>
      </c>
      <c r="B2062">
        <f>4068.21911014319*(3/4)</f>
        <v>3051.1643326073918</v>
      </c>
    </row>
    <row r="2063" spans="1:2" x14ac:dyDescent="0.3">
      <c r="A2063" s="2">
        <v>45743.875</v>
      </c>
      <c r="B2063">
        <f>3994.59721083385*(3/4)</f>
        <v>2995.9479081253885</v>
      </c>
    </row>
    <row r="2064" spans="1:2" x14ac:dyDescent="0.3">
      <c r="A2064" s="2">
        <v>45743.916666666657</v>
      </c>
      <c r="B2064">
        <f>3840.67943221406*(3/4)</f>
        <v>2880.5095741605483</v>
      </c>
    </row>
    <row r="2065" spans="1:2" x14ac:dyDescent="0.3">
      <c r="A2065" s="2">
        <v>45743.958333333343</v>
      </c>
      <c r="B2065">
        <f>3813.17380969227*(3/4)</f>
        <v>2859.8803572692041</v>
      </c>
    </row>
    <row r="2066" spans="1:2" x14ac:dyDescent="0.3">
      <c r="A2066" s="2">
        <v>45744</v>
      </c>
      <c r="B2066">
        <f>4204.21813329973*(3/4)</f>
        <v>3153.1635999747969</v>
      </c>
    </row>
    <row r="2067" spans="1:2" x14ac:dyDescent="0.3">
      <c r="A2067" s="2">
        <v>45744.041666666657</v>
      </c>
      <c r="B2067">
        <f>3930.9068367816*(3/4)</f>
        <v>2948.1801275861972</v>
      </c>
    </row>
    <row r="2068" spans="1:2" x14ac:dyDescent="0.3">
      <c r="A2068" s="2">
        <v>45744.083333333343</v>
      </c>
      <c r="B2068">
        <f>4015.61671753086*(3/4)</f>
        <v>3011.7125381481465</v>
      </c>
    </row>
    <row r="2069" spans="1:2" x14ac:dyDescent="0.3">
      <c r="A2069" s="2">
        <v>45744.125</v>
      </c>
      <c r="B2069">
        <f>4052.47207793524*(3/4)</f>
        <v>3039.3540584514303</v>
      </c>
    </row>
    <row r="2070" spans="1:2" x14ac:dyDescent="0.3">
      <c r="A2070" s="2">
        <v>45744.166666666657</v>
      </c>
      <c r="B2070">
        <f>4074.885696703*(3/4)</f>
        <v>3056.1642725272509</v>
      </c>
    </row>
    <row r="2071" spans="1:2" x14ac:dyDescent="0.3">
      <c r="A2071" s="2">
        <v>45744.208333333343</v>
      </c>
      <c r="B2071">
        <f>4053.9204146013*(3/4)</f>
        <v>3040.4403109509785</v>
      </c>
    </row>
    <row r="2072" spans="1:2" x14ac:dyDescent="0.3">
      <c r="A2072" s="2">
        <v>45744.25</v>
      </c>
      <c r="B2072">
        <f>3785.15038612128*(3/4)</f>
        <v>2838.8627895909608</v>
      </c>
    </row>
    <row r="2073" spans="1:2" x14ac:dyDescent="0.3">
      <c r="A2073" s="2">
        <v>45744.291666666657</v>
      </c>
      <c r="B2073">
        <f>4164.934099756*(3/4)</f>
        <v>3123.7005748170013</v>
      </c>
    </row>
    <row r="2074" spans="1:2" x14ac:dyDescent="0.3">
      <c r="A2074" s="2">
        <v>45744.333333333343</v>
      </c>
      <c r="B2074">
        <f>4550.04760983538*(3/4)</f>
        <v>3412.5357073765344</v>
      </c>
    </row>
    <row r="2075" spans="1:2" x14ac:dyDescent="0.3">
      <c r="A2075" s="2">
        <v>45744.375</v>
      </c>
      <c r="B2075">
        <f>4217.53354934791*(3/4)</f>
        <v>3163.1501620109343</v>
      </c>
    </row>
    <row r="2076" spans="1:2" x14ac:dyDescent="0.3">
      <c r="A2076" s="2">
        <v>45744.416666666657</v>
      </c>
      <c r="B2076">
        <f>4011.31027839322*(3/4)</f>
        <v>3008.4827087949152</v>
      </c>
    </row>
    <row r="2077" spans="1:2" x14ac:dyDescent="0.3">
      <c r="A2077" s="2">
        <v>45744.458333333343</v>
      </c>
      <c r="B2077">
        <f>4075.77730335431*(3/4)</f>
        <v>3056.8329775157304</v>
      </c>
    </row>
    <row r="2078" spans="1:2" x14ac:dyDescent="0.3">
      <c r="A2078" s="2">
        <v>45744.5</v>
      </c>
      <c r="B2078">
        <f>3857.86309754309*(3/4)</f>
        <v>2893.3973231573191</v>
      </c>
    </row>
    <row r="2079" spans="1:2" x14ac:dyDescent="0.3">
      <c r="A2079" s="2">
        <v>45744.541666666657</v>
      </c>
      <c r="B2079">
        <f>4099.27065753619*(3/4)</f>
        <v>3074.4529931521429</v>
      </c>
    </row>
    <row r="2080" spans="1:2" x14ac:dyDescent="0.3">
      <c r="A2080" s="2">
        <v>45744.583333333343</v>
      </c>
      <c r="B2080">
        <f>3700.61584106588*(3/4)</f>
        <v>2775.4618807994084</v>
      </c>
    </row>
    <row r="2081" spans="1:2" x14ac:dyDescent="0.3">
      <c r="A2081" s="2">
        <v>45744.625</v>
      </c>
      <c r="B2081">
        <f>3973.33936070878*(3/4)</f>
        <v>2980.0045205315864</v>
      </c>
    </row>
    <row r="2082" spans="1:2" x14ac:dyDescent="0.3">
      <c r="A2082" s="2">
        <v>45744.666666666657</v>
      </c>
      <c r="B2082">
        <f>4251.8856551529*(3/4)</f>
        <v>3188.9142413646714</v>
      </c>
    </row>
    <row r="2083" spans="1:2" x14ac:dyDescent="0.3">
      <c r="A2083" s="2">
        <v>45744.708333333343</v>
      </c>
      <c r="B2083">
        <f>4127.91257735602*(3/4)</f>
        <v>3095.9344330170179</v>
      </c>
    </row>
    <row r="2084" spans="1:2" x14ac:dyDescent="0.3">
      <c r="A2084" s="2">
        <v>45744.75</v>
      </c>
      <c r="B2084">
        <f>3925.5179619203*(3/4)</f>
        <v>2944.1384714402288</v>
      </c>
    </row>
    <row r="2085" spans="1:2" x14ac:dyDescent="0.3">
      <c r="A2085" s="2">
        <v>45744.791666666657</v>
      </c>
      <c r="B2085">
        <f>4152.67304189511*(3/4)</f>
        <v>3114.5047814213303</v>
      </c>
    </row>
    <row r="2086" spans="1:2" x14ac:dyDescent="0.3">
      <c r="A2086" s="2">
        <v>45744.833333333343</v>
      </c>
      <c r="B2086">
        <f>4465.01665168757*(3/4)</f>
        <v>3348.7624887656748</v>
      </c>
    </row>
    <row r="2087" spans="1:2" x14ac:dyDescent="0.3">
      <c r="A2087" s="2">
        <v>45744.875</v>
      </c>
      <c r="B2087">
        <f>4144.86052636575*(3/4)</f>
        <v>3108.645394774313</v>
      </c>
    </row>
    <row r="2088" spans="1:2" x14ac:dyDescent="0.3">
      <c r="A2088" s="2">
        <v>45744.916666666657</v>
      </c>
      <c r="B2088">
        <f>3846.20652929956*(3/4)</f>
        <v>2884.6548969746709</v>
      </c>
    </row>
    <row r="2089" spans="1:2" x14ac:dyDescent="0.3">
      <c r="A2089" s="2">
        <v>45744.958333333343</v>
      </c>
      <c r="B2089">
        <f>4011.23429860518*(3/4)</f>
        <v>3008.4257239538865</v>
      </c>
    </row>
    <row r="2090" spans="1:2" x14ac:dyDescent="0.3">
      <c r="A2090" s="2">
        <v>45745</v>
      </c>
      <c r="B2090">
        <f>3610.96490190602*(3/4)</f>
        <v>2708.223676429513</v>
      </c>
    </row>
    <row r="2091" spans="1:2" x14ac:dyDescent="0.3">
      <c r="A2091" s="2">
        <v>45745.041666666657</v>
      </c>
      <c r="B2091">
        <f>4142.97310513099*(3/4)</f>
        <v>3107.2298288482425</v>
      </c>
    </row>
    <row r="2092" spans="1:2" x14ac:dyDescent="0.3">
      <c r="A2092" s="2">
        <v>45745.083333333343</v>
      </c>
      <c r="B2092">
        <f>3768.78348115094*(3/4)</f>
        <v>2826.5876108632083</v>
      </c>
    </row>
    <row r="2093" spans="1:2" x14ac:dyDescent="0.3">
      <c r="A2093" s="2">
        <v>45745.125</v>
      </c>
      <c r="B2093">
        <f>3920.38445009864*(3/4)</f>
        <v>2940.288337573983</v>
      </c>
    </row>
    <row r="2094" spans="1:2" x14ac:dyDescent="0.3">
      <c r="A2094" s="2">
        <v>45745.166666666657</v>
      </c>
      <c r="B2094">
        <f>4098.79656257171*(3/4)</f>
        <v>3074.097421928785</v>
      </c>
    </row>
    <row r="2095" spans="1:2" x14ac:dyDescent="0.3">
      <c r="A2095" s="2">
        <v>45745.208333333343</v>
      </c>
      <c r="B2095">
        <f>3926.11442970898*(3/4)</f>
        <v>2944.5858222817365</v>
      </c>
    </row>
    <row r="2096" spans="1:2" x14ac:dyDescent="0.3">
      <c r="A2096" s="2">
        <v>45745.25</v>
      </c>
      <c r="B2096">
        <f>3809.10273383024*(3/4)</f>
        <v>2856.8270503726776</v>
      </c>
    </row>
    <row r="2097" spans="1:2" x14ac:dyDescent="0.3">
      <c r="A2097" s="2">
        <v>45745.291666666657</v>
      </c>
      <c r="B2097">
        <f>3850.48158561046*(3/4)</f>
        <v>2887.8611892078457</v>
      </c>
    </row>
    <row r="2098" spans="1:2" x14ac:dyDescent="0.3">
      <c r="A2098" s="2">
        <v>45745.333333333343</v>
      </c>
      <c r="B2098">
        <f>3915.21858791235*(3/4)</f>
        <v>2936.4139409342647</v>
      </c>
    </row>
    <row r="2099" spans="1:2" x14ac:dyDescent="0.3">
      <c r="A2099" s="2">
        <v>45745.375</v>
      </c>
      <c r="B2099">
        <f>4155.70430904592*(3/4)</f>
        <v>3116.7782317844421</v>
      </c>
    </row>
    <row r="2100" spans="1:2" x14ac:dyDescent="0.3">
      <c r="A2100" s="2">
        <v>45745.416666666657</v>
      </c>
      <c r="B2100">
        <f>4174.84138913924*(3/4)</f>
        <v>3131.1310418544267</v>
      </c>
    </row>
    <row r="2101" spans="1:2" x14ac:dyDescent="0.3">
      <c r="A2101" s="2">
        <v>45745.458333333343</v>
      </c>
      <c r="B2101">
        <f>3998.54712932073*(3/4)</f>
        <v>2998.9103469905485</v>
      </c>
    </row>
    <row r="2102" spans="1:2" x14ac:dyDescent="0.3">
      <c r="A2102" s="2">
        <v>45745.5</v>
      </c>
      <c r="B2102">
        <f>4229.95009755145*(3/4)</f>
        <v>3172.462573163587</v>
      </c>
    </row>
    <row r="2103" spans="1:2" x14ac:dyDescent="0.3">
      <c r="A2103" s="2">
        <v>45745.541666666657</v>
      </c>
      <c r="B2103">
        <f>3994.97116563633*(3/4)</f>
        <v>2996.2283742272484</v>
      </c>
    </row>
    <row r="2104" spans="1:2" x14ac:dyDescent="0.3">
      <c r="A2104" s="2">
        <v>45745.583333333343</v>
      </c>
      <c r="B2104">
        <f>3750.66769929116*(3/4)</f>
        <v>2813.0007744683708</v>
      </c>
    </row>
    <row r="2105" spans="1:2" x14ac:dyDescent="0.3">
      <c r="A2105" s="2">
        <v>45745.625</v>
      </c>
      <c r="B2105">
        <f>4193.2309933705*(3/4)</f>
        <v>3144.9232450278787</v>
      </c>
    </row>
    <row r="2106" spans="1:2" x14ac:dyDescent="0.3">
      <c r="A2106" s="2">
        <v>45745.666666666657</v>
      </c>
      <c r="B2106">
        <f>4365.35129322625*(3/4)</f>
        <v>3274.0134699196883</v>
      </c>
    </row>
    <row r="2107" spans="1:2" x14ac:dyDescent="0.3">
      <c r="A2107" s="2">
        <v>45745.708333333343</v>
      </c>
      <c r="B2107">
        <f>3823.43054710774*(3/4)</f>
        <v>2867.5729103308058</v>
      </c>
    </row>
    <row r="2108" spans="1:2" x14ac:dyDescent="0.3">
      <c r="A2108" s="2">
        <v>45745.75</v>
      </c>
      <c r="B2108">
        <f>3827.82820375951*(3/4)</f>
        <v>2870.8711528196332</v>
      </c>
    </row>
    <row r="2109" spans="1:2" x14ac:dyDescent="0.3">
      <c r="A2109" s="2">
        <v>45745.791666666657</v>
      </c>
      <c r="B2109">
        <f>3887.15385181775*(3/4)</f>
        <v>2915.3653888633148</v>
      </c>
    </row>
    <row r="2110" spans="1:2" x14ac:dyDescent="0.3">
      <c r="A2110" s="2">
        <v>45745.833333333343</v>
      </c>
      <c r="B2110">
        <f>3910.02934495775*(3/4)</f>
        <v>2932.5220087183097</v>
      </c>
    </row>
    <row r="2111" spans="1:2" x14ac:dyDescent="0.3">
      <c r="A2111" s="2">
        <v>45745.875</v>
      </c>
      <c r="B2111">
        <f>3831.56345992439*(3/4)</f>
        <v>2873.6725949432939</v>
      </c>
    </row>
    <row r="2112" spans="1:2" x14ac:dyDescent="0.3">
      <c r="A2112" s="2">
        <v>45745.916666666657</v>
      </c>
      <c r="B2112">
        <f>3791.78991682619*(3/4)</f>
        <v>2843.8424376196417</v>
      </c>
    </row>
    <row r="2113" spans="1:2" x14ac:dyDescent="0.3">
      <c r="A2113" s="2">
        <v>45745.958333333343</v>
      </c>
      <c r="B2113">
        <f>3915.14016527178*(3/4)</f>
        <v>2936.3551239538338</v>
      </c>
    </row>
    <row r="2114" spans="1:2" x14ac:dyDescent="0.3">
      <c r="A2114" s="2">
        <v>45746</v>
      </c>
      <c r="B2114">
        <f>3834.62274159307*(3/4)</f>
        <v>2875.9670561948033</v>
      </c>
    </row>
    <row r="2115" spans="1:2" x14ac:dyDescent="0.3">
      <c r="A2115" s="2">
        <v>45746.041666666657</v>
      </c>
      <c r="B2115">
        <f>3749.86048562058*(3/4)</f>
        <v>2812.3953642154374</v>
      </c>
    </row>
    <row r="2116" spans="1:2" x14ac:dyDescent="0.3">
      <c r="A2116" s="2">
        <v>45746.083333333343</v>
      </c>
      <c r="B2116">
        <f>3704.57789216814*(3/4)</f>
        <v>2778.4334191261073</v>
      </c>
    </row>
    <row r="2117" spans="1:2" x14ac:dyDescent="0.3">
      <c r="A2117" s="2">
        <v>45746.125</v>
      </c>
      <c r="B2117">
        <f>3892.79477989264*(3/4)</f>
        <v>2919.5960849194798</v>
      </c>
    </row>
    <row r="2118" spans="1:2" x14ac:dyDescent="0.3">
      <c r="A2118" s="2">
        <v>45746.166666666657</v>
      </c>
      <c r="B2118">
        <f>4078.23563192002*(3/4)</f>
        <v>3058.6767239400124</v>
      </c>
    </row>
    <row r="2119" spans="1:2" x14ac:dyDescent="0.3">
      <c r="A2119" s="2">
        <v>45746.208333333343</v>
      </c>
      <c r="B2119">
        <f>4138.78440503068*(3/4)</f>
        <v>3104.0883037730068</v>
      </c>
    </row>
    <row r="2120" spans="1:2" x14ac:dyDescent="0.3">
      <c r="A2120" s="2">
        <v>45746.25</v>
      </c>
      <c r="B2120">
        <f>3597.21299550148*(3/4)</f>
        <v>2697.9097466261123</v>
      </c>
    </row>
    <row r="2121" spans="1:2" x14ac:dyDescent="0.3">
      <c r="A2121" s="2">
        <v>45746.291666666657</v>
      </c>
      <c r="B2121">
        <f>3992.72715923046*(3/4)</f>
        <v>2994.5453694228481</v>
      </c>
    </row>
    <row r="2122" spans="1:2" x14ac:dyDescent="0.3">
      <c r="A2122" s="2">
        <v>45746.333333333343</v>
      </c>
      <c r="B2122">
        <f>3059.48142435091*(3/4)</f>
        <v>2294.6110682631843</v>
      </c>
    </row>
    <row r="2123" spans="1:2" x14ac:dyDescent="0.3">
      <c r="A2123" s="2">
        <v>45746.375</v>
      </c>
      <c r="B2123">
        <f>3185.31025387889*(3/4)</f>
        <v>2388.9826904091669</v>
      </c>
    </row>
    <row r="2124" spans="1:2" x14ac:dyDescent="0.3">
      <c r="A2124" s="2">
        <v>45746.416666666657</v>
      </c>
      <c r="B2124">
        <f>3160.03932629403*(3/4)</f>
        <v>2370.0294947205211</v>
      </c>
    </row>
    <row r="2125" spans="1:2" x14ac:dyDescent="0.3">
      <c r="A2125" s="2">
        <v>45746.458333333343</v>
      </c>
      <c r="B2125">
        <f>3115.74313605158*(3/4)</f>
        <v>2336.8073520386861</v>
      </c>
    </row>
    <row r="2126" spans="1:2" x14ac:dyDescent="0.3">
      <c r="A2126" s="2">
        <v>45746.5</v>
      </c>
      <c r="B2126">
        <f>3020.01569046285*(3/4)</f>
        <v>2265.0117678471397</v>
      </c>
    </row>
    <row r="2127" spans="1:2" x14ac:dyDescent="0.3">
      <c r="A2127" s="2">
        <v>45746.541666666657</v>
      </c>
      <c r="B2127">
        <f>3338.62995483201*(3/4)</f>
        <v>2503.9724661240111</v>
      </c>
    </row>
    <row r="2128" spans="1:2" x14ac:dyDescent="0.3">
      <c r="A2128" s="2">
        <v>45746.583333333343</v>
      </c>
      <c r="B2128">
        <f>3170.06516231125*(3/4)</f>
        <v>2377.5488717334356</v>
      </c>
    </row>
    <row r="2129" spans="1:2" x14ac:dyDescent="0.3">
      <c r="A2129" s="2">
        <v>45746.625</v>
      </c>
      <c r="B2129">
        <f>3391.87505949414*(3/4)</f>
        <v>2543.906294620605</v>
      </c>
    </row>
    <row r="2130" spans="1:2" x14ac:dyDescent="0.3">
      <c r="A2130" s="2">
        <v>45746.666666666657</v>
      </c>
      <c r="B2130">
        <f>3386.18770217566*(3/4)</f>
        <v>2539.6407766317452</v>
      </c>
    </row>
    <row r="2131" spans="1:2" x14ac:dyDescent="0.3">
      <c r="A2131" s="2">
        <v>45746.708333333343</v>
      </c>
      <c r="B2131">
        <f>3867.47984164662*(3/4)</f>
        <v>2900.6098812349655</v>
      </c>
    </row>
    <row r="2132" spans="1:2" x14ac:dyDescent="0.3">
      <c r="A2132" s="2">
        <v>45746.75</v>
      </c>
      <c r="B2132">
        <f>3935.83806409514*(3/4)</f>
        <v>2951.8785480713518</v>
      </c>
    </row>
    <row r="2133" spans="1:2" x14ac:dyDescent="0.3">
      <c r="A2133" s="2">
        <v>45746.791666666657</v>
      </c>
      <c r="B2133">
        <f>3939.28153627257*(3/4)</f>
        <v>2954.4611522044274</v>
      </c>
    </row>
    <row r="2134" spans="1:2" x14ac:dyDescent="0.3">
      <c r="A2134" s="2">
        <v>45746.833333333343</v>
      </c>
      <c r="B2134">
        <f>4501.19535955286*(3/4)</f>
        <v>3375.8965196646432</v>
      </c>
    </row>
    <row r="2135" spans="1:2" x14ac:dyDescent="0.3">
      <c r="A2135" s="2">
        <v>45746.875</v>
      </c>
      <c r="B2135">
        <f>3872.40537258016*(3/4)</f>
        <v>2904.3040294351167</v>
      </c>
    </row>
    <row r="2136" spans="1:2" x14ac:dyDescent="0.3">
      <c r="A2136" s="2">
        <v>45746.916666666657</v>
      </c>
      <c r="B2136">
        <f>3125.60360234141*(3/4)</f>
        <v>2344.202701756059</v>
      </c>
    </row>
    <row r="2137" spans="1:2" x14ac:dyDescent="0.3">
      <c r="A2137" s="2">
        <v>45746.958333333343</v>
      </c>
      <c r="B2137">
        <f>3939.35801923601*(3/4)</f>
        <v>2954.5185144270044</v>
      </c>
    </row>
    <row r="2138" spans="1:2" x14ac:dyDescent="0.3">
      <c r="A2138" s="2">
        <v>45747</v>
      </c>
      <c r="B2138">
        <f>3908.47560772428*(3/4)</f>
        <v>2931.3567057932105</v>
      </c>
    </row>
    <row r="2139" spans="1:2" x14ac:dyDescent="0.3">
      <c r="A2139" s="2">
        <v>45747.041666666657</v>
      </c>
      <c r="B2139">
        <f>3679.15303466887*(3/4)</f>
        <v>2759.3647760016556</v>
      </c>
    </row>
    <row r="2140" spans="1:2" x14ac:dyDescent="0.3">
      <c r="A2140" s="2">
        <v>45747.083333333343</v>
      </c>
      <c r="B2140">
        <f>3920.37036637928*(3/4)</f>
        <v>2940.2777747844593</v>
      </c>
    </row>
    <row r="2141" spans="1:2" x14ac:dyDescent="0.3">
      <c r="A2141" s="2">
        <v>45747.125</v>
      </c>
      <c r="B2141">
        <f>4087.63719583493*(3/4)</f>
        <v>3065.7278968762007</v>
      </c>
    </row>
    <row r="2142" spans="1:2" x14ac:dyDescent="0.3">
      <c r="A2142" s="2">
        <v>45747.166666666657</v>
      </c>
      <c r="B2142">
        <f>3960.33254993693*(3/4)</f>
        <v>2970.2494124526975</v>
      </c>
    </row>
    <row r="2143" spans="1:2" x14ac:dyDescent="0.3">
      <c r="A2143" s="2">
        <v>45747.208333333343</v>
      </c>
      <c r="B2143">
        <f>3938.1285490123*(3/4)</f>
        <v>2953.5964117592239</v>
      </c>
    </row>
    <row r="2144" spans="1:2" x14ac:dyDescent="0.3">
      <c r="A2144" s="2">
        <v>45747.25</v>
      </c>
      <c r="B2144">
        <f>3988.51076445829*(3/4)</f>
        <v>2991.3830733437176</v>
      </c>
    </row>
    <row r="2145" spans="1:2" x14ac:dyDescent="0.3">
      <c r="A2145" s="2">
        <v>45747.291666666657</v>
      </c>
      <c r="B2145">
        <f>4190.58506622182*(3/4)</f>
        <v>3142.9387996663654</v>
      </c>
    </row>
    <row r="2146" spans="1:2" x14ac:dyDescent="0.3">
      <c r="A2146" s="2">
        <v>45747.333333333343</v>
      </c>
      <c r="B2146">
        <f>3896.67439834339*(3/4)</f>
        <v>2922.5057987575433</v>
      </c>
    </row>
    <row r="2147" spans="1:2" x14ac:dyDescent="0.3">
      <c r="A2147" s="2">
        <v>45747.375</v>
      </c>
      <c r="B2147">
        <f>3937.85122867757*(3/4)</f>
        <v>2953.3884215081775</v>
      </c>
    </row>
    <row r="2148" spans="1:2" x14ac:dyDescent="0.3">
      <c r="A2148" s="2">
        <v>45747.416666666657</v>
      </c>
      <c r="B2148">
        <f>3944.84912730276*(3/4)</f>
        <v>2958.6368454770723</v>
      </c>
    </row>
    <row r="2149" spans="1:2" x14ac:dyDescent="0.3">
      <c r="A2149" s="2">
        <v>45747.458333333343</v>
      </c>
      <c r="B2149">
        <f>4046.6564466625*(3/4)</f>
        <v>3034.9923349968758</v>
      </c>
    </row>
    <row r="2150" spans="1:2" x14ac:dyDescent="0.3">
      <c r="A2150" s="2">
        <v>45747.5</v>
      </c>
      <c r="B2150">
        <f>4248.89524235272*(3/4)</f>
        <v>3186.6714317645419</v>
      </c>
    </row>
    <row r="2151" spans="1:2" x14ac:dyDescent="0.3">
      <c r="A2151" s="2">
        <v>45747.541666666657</v>
      </c>
      <c r="B2151">
        <f>4009.43078045051*(3/4)</f>
        <v>3007.07308533788</v>
      </c>
    </row>
    <row r="2152" spans="1:2" x14ac:dyDescent="0.3">
      <c r="A2152" s="2">
        <v>45747.583333333343</v>
      </c>
      <c r="B2152">
        <f>3892.3867334226*(3/4)</f>
        <v>2919.2900500669466</v>
      </c>
    </row>
    <row r="2153" spans="1:2" x14ac:dyDescent="0.3">
      <c r="A2153" s="2">
        <v>45747.625</v>
      </c>
      <c r="B2153">
        <f>3994.67965267199*(3/4)</f>
        <v>2996.0097395039925</v>
      </c>
    </row>
    <row r="2154" spans="1:2" x14ac:dyDescent="0.3">
      <c r="A2154" s="2">
        <v>45747.666666666657</v>
      </c>
      <c r="B2154">
        <f>4027.84044525938*(3/4)</f>
        <v>3020.8803339445326</v>
      </c>
    </row>
    <row r="2155" spans="1:2" x14ac:dyDescent="0.3">
      <c r="A2155" s="2">
        <v>45747.708333333343</v>
      </c>
      <c r="B2155">
        <f>4239.20992697548*(3/4)</f>
        <v>3179.4074452316117</v>
      </c>
    </row>
    <row r="2156" spans="1:2" x14ac:dyDescent="0.3">
      <c r="A2156" s="2">
        <v>45747.75</v>
      </c>
      <c r="B2156">
        <f>4222.65873312191*(3/4)</f>
        <v>3166.9940498414353</v>
      </c>
    </row>
    <row r="2157" spans="1:2" x14ac:dyDescent="0.3">
      <c r="A2157" s="2">
        <v>45747.791666666657</v>
      </c>
      <c r="B2157">
        <f>4286.12459972151*(3/4)</f>
        <v>3214.5934497911294</v>
      </c>
    </row>
    <row r="2158" spans="1:2" x14ac:dyDescent="0.3">
      <c r="A2158" s="2">
        <v>45747.833333333343</v>
      </c>
      <c r="B2158">
        <f>4022.82692750995*(3/4)</f>
        <v>3017.1201956324603</v>
      </c>
    </row>
    <row r="2159" spans="1:2" x14ac:dyDescent="0.3">
      <c r="A2159" s="2">
        <v>45747.875</v>
      </c>
      <c r="B2159">
        <f>3778.44056089517*(3/4)</f>
        <v>2833.8304206713792</v>
      </c>
    </row>
    <row r="2160" spans="1:2" x14ac:dyDescent="0.3">
      <c r="A2160" s="2">
        <v>45747.916666666657</v>
      </c>
      <c r="B2160">
        <f>3820.67588891726*(3/4)</f>
        <v>2865.5069166879471</v>
      </c>
    </row>
    <row r="2161" spans="1:2" x14ac:dyDescent="0.3">
      <c r="A2161" s="2">
        <v>45747.958333333343</v>
      </c>
      <c r="B2161">
        <f>3782.70155763002*(3/4)</f>
        <v>2837.0261682225146</v>
      </c>
    </row>
    <row r="2162" spans="1:2" x14ac:dyDescent="0.3">
      <c r="A2162" s="2">
        <v>45748</v>
      </c>
      <c r="B2162">
        <f>3946.66988848305*(3/4)</f>
        <v>2960.0024163622893</v>
      </c>
    </row>
    <row r="2163" spans="1:2" x14ac:dyDescent="0.3">
      <c r="A2163" s="2">
        <v>45748.041666666657</v>
      </c>
      <c r="B2163">
        <f>3679.95341682928*(3/4)</f>
        <v>2759.9650626219609</v>
      </c>
    </row>
    <row r="2164" spans="1:2" x14ac:dyDescent="0.3">
      <c r="A2164" s="2">
        <v>45748.083333333343</v>
      </c>
      <c r="B2164">
        <f>4152.6742402075*(3/4)</f>
        <v>3114.5056801556275</v>
      </c>
    </row>
    <row r="2165" spans="1:2" x14ac:dyDescent="0.3">
      <c r="A2165" s="2">
        <v>45748.125</v>
      </c>
      <c r="B2165">
        <f>4050.06032099407*(3/4)</f>
        <v>3037.5452407455523</v>
      </c>
    </row>
    <row r="2166" spans="1:2" x14ac:dyDescent="0.3">
      <c r="A2166" s="2">
        <v>45748.166666666657</v>
      </c>
      <c r="B2166">
        <f>3868.8961725524*(3/4)</f>
        <v>2901.6721294143013</v>
      </c>
    </row>
    <row r="2167" spans="1:2" x14ac:dyDescent="0.3">
      <c r="A2167" s="2">
        <v>45748.208333333343</v>
      </c>
      <c r="B2167">
        <f>3796.28503365795*(3/4)</f>
        <v>2847.2137752434624</v>
      </c>
    </row>
    <row r="2168" spans="1:2" x14ac:dyDescent="0.3">
      <c r="A2168" s="2">
        <v>45748.25</v>
      </c>
      <c r="B2168">
        <f>3900.14510324777*(3/4)</f>
        <v>2925.1088274358244</v>
      </c>
    </row>
    <row r="2169" spans="1:2" x14ac:dyDescent="0.3">
      <c r="A2169" s="2">
        <v>45748.291666666657</v>
      </c>
      <c r="B2169">
        <f>3984.7629088269*(3/4)</f>
        <v>2988.5721816201781</v>
      </c>
    </row>
    <row r="2170" spans="1:2" x14ac:dyDescent="0.3">
      <c r="A2170" s="2">
        <v>45748.333333333343</v>
      </c>
      <c r="B2170">
        <f>4086.25628136741*(3/4)</f>
        <v>3064.6922110255591</v>
      </c>
    </row>
    <row r="2171" spans="1:2" x14ac:dyDescent="0.3">
      <c r="A2171" s="2">
        <v>45748.375</v>
      </c>
      <c r="B2171">
        <f>3939.872790228*(3/4)</f>
        <v>2954.9045926709978</v>
      </c>
    </row>
    <row r="2172" spans="1:2" x14ac:dyDescent="0.3">
      <c r="A2172" s="2">
        <v>45748.416666666657</v>
      </c>
      <c r="B2172">
        <f>3870.6140831043*(3/4)</f>
        <v>2902.9605623282255</v>
      </c>
    </row>
    <row r="2173" spans="1:2" x14ac:dyDescent="0.3">
      <c r="A2173" s="2">
        <v>45748.458333333343</v>
      </c>
      <c r="B2173">
        <f>3935.45928183803*(3/4)</f>
        <v>2951.5944613785205</v>
      </c>
    </row>
    <row r="2174" spans="1:2" x14ac:dyDescent="0.3">
      <c r="A2174" s="2">
        <v>45748.5</v>
      </c>
      <c r="B2174">
        <f>4207.77622252272*(3/4)</f>
        <v>3155.8321668920426</v>
      </c>
    </row>
    <row r="2175" spans="1:2" x14ac:dyDescent="0.3">
      <c r="A2175" s="2">
        <v>45748.541666666657</v>
      </c>
      <c r="B2175">
        <f>4003.74964142743*(3/4)</f>
        <v>3002.8122310705694</v>
      </c>
    </row>
    <row r="2176" spans="1:2" x14ac:dyDescent="0.3">
      <c r="A2176" s="2">
        <v>45748.583333333343</v>
      </c>
      <c r="B2176">
        <f>3791.53436486655*(3/4)</f>
        <v>2843.6507736499098</v>
      </c>
    </row>
    <row r="2177" spans="1:2" x14ac:dyDescent="0.3">
      <c r="A2177" s="2">
        <v>45748.625</v>
      </c>
      <c r="B2177">
        <f>3995.11619798274*(3/4)</f>
        <v>2996.3371484870586</v>
      </c>
    </row>
    <row r="2178" spans="1:2" x14ac:dyDescent="0.3">
      <c r="A2178" s="2">
        <v>45748.666666666657</v>
      </c>
      <c r="B2178">
        <f>3906.55417114059*(3/4)</f>
        <v>2929.915628355443</v>
      </c>
    </row>
    <row r="2179" spans="1:2" x14ac:dyDescent="0.3">
      <c r="A2179" s="2">
        <v>45748.708333333343</v>
      </c>
      <c r="B2179">
        <f>3994.41993104141*(3/4)</f>
        <v>2995.8149482810568</v>
      </c>
    </row>
    <row r="2180" spans="1:2" x14ac:dyDescent="0.3">
      <c r="A2180" s="2">
        <v>45748.75</v>
      </c>
      <c r="B2180">
        <f>4114.36309972107*(3/4)</f>
        <v>3085.7723247908007</v>
      </c>
    </row>
    <row r="2181" spans="1:2" x14ac:dyDescent="0.3">
      <c r="A2181" s="2">
        <v>45748.791666666657</v>
      </c>
      <c r="B2181">
        <f>3953.38107314312*(3/4)</f>
        <v>2965.0358048573371</v>
      </c>
    </row>
    <row r="2182" spans="1:2" x14ac:dyDescent="0.3">
      <c r="A2182" s="2">
        <v>45748.833333333343</v>
      </c>
      <c r="B2182">
        <f>4204.75775353892*(3/4)</f>
        <v>3153.5683151541925</v>
      </c>
    </row>
    <row r="2183" spans="1:2" x14ac:dyDescent="0.3">
      <c r="A2183" s="2">
        <v>45748.875</v>
      </c>
      <c r="B2183">
        <f>3973.27772071541*(3/4)</f>
        <v>2979.958290536556</v>
      </c>
    </row>
    <row r="2184" spans="1:2" x14ac:dyDescent="0.3">
      <c r="A2184" s="2">
        <v>45748.916666666657</v>
      </c>
      <c r="B2184">
        <f>3966.59466841153*(3/4)</f>
        <v>2974.9460013086436</v>
      </c>
    </row>
    <row r="2185" spans="1:2" x14ac:dyDescent="0.3">
      <c r="A2185" s="2">
        <v>45748.958333333343</v>
      </c>
      <c r="B2185">
        <f>3862.80660748969*(3/4)</f>
        <v>2897.1049556172657</v>
      </c>
    </row>
    <row r="2186" spans="1:2" x14ac:dyDescent="0.3">
      <c r="A2186" s="2">
        <v>45749</v>
      </c>
      <c r="B2186">
        <f>3905.51266080783*(3/4)</f>
        <v>2929.1344956058742</v>
      </c>
    </row>
    <row r="2187" spans="1:2" x14ac:dyDescent="0.3">
      <c r="A2187" s="2">
        <v>45749.041666666657</v>
      </c>
      <c r="B2187">
        <f>4094.0801794941*(3/4)</f>
        <v>3070.5601346205772</v>
      </c>
    </row>
    <row r="2188" spans="1:2" x14ac:dyDescent="0.3">
      <c r="A2188" s="2">
        <v>45749.083333333343</v>
      </c>
      <c r="B2188">
        <f>3951.52837211701*(3/4)</f>
        <v>2963.6462790877576</v>
      </c>
    </row>
    <row r="2189" spans="1:2" x14ac:dyDescent="0.3">
      <c r="A2189" s="2">
        <v>45749.125</v>
      </c>
      <c r="B2189">
        <f>3964.18111102683*(3/4)</f>
        <v>2973.1358332701202</v>
      </c>
    </row>
    <row r="2190" spans="1:2" x14ac:dyDescent="0.3">
      <c r="A2190" s="2">
        <v>45749.166666666657</v>
      </c>
      <c r="B2190">
        <f>3885.32183696608*(3/4)</f>
        <v>2913.9913777245638</v>
      </c>
    </row>
    <row r="2191" spans="1:2" x14ac:dyDescent="0.3">
      <c r="A2191" s="2">
        <v>45749.208333333343</v>
      </c>
      <c r="B2191">
        <f>3730.01580864134*(3/4)</f>
        <v>2797.5118564810073</v>
      </c>
    </row>
    <row r="2192" spans="1:2" x14ac:dyDescent="0.3">
      <c r="A2192" s="2">
        <v>45749.25</v>
      </c>
      <c r="B2192">
        <f>3563.66305534407*(3/4)</f>
        <v>2672.7472915080539</v>
      </c>
    </row>
    <row r="2193" spans="1:2" x14ac:dyDescent="0.3">
      <c r="A2193" s="2">
        <v>45749.291666666657</v>
      </c>
      <c r="B2193">
        <f>4073.35442491109*(3/4)</f>
        <v>3055.0158186833196</v>
      </c>
    </row>
    <row r="2194" spans="1:2" x14ac:dyDescent="0.3">
      <c r="A2194" s="2">
        <v>45749.333333333343</v>
      </c>
      <c r="B2194">
        <f>3836.95915548051*(3/4)</f>
        <v>2877.7193666103826</v>
      </c>
    </row>
    <row r="2195" spans="1:2" x14ac:dyDescent="0.3">
      <c r="A2195" s="2">
        <v>45749.375</v>
      </c>
      <c r="B2195">
        <f>4289.58987175318*(3/4)</f>
        <v>3217.1924038148854</v>
      </c>
    </row>
    <row r="2196" spans="1:2" x14ac:dyDescent="0.3">
      <c r="A2196" s="2">
        <v>45749.416666666657</v>
      </c>
      <c r="B2196">
        <f>3878.92692021828*(3/4)</f>
        <v>2909.1951901637067</v>
      </c>
    </row>
    <row r="2197" spans="1:2" x14ac:dyDescent="0.3">
      <c r="A2197" s="2">
        <v>45749.458333333343</v>
      </c>
      <c r="B2197">
        <f>3894.40376219051*(3/4)</f>
        <v>2920.8028216428861</v>
      </c>
    </row>
    <row r="2198" spans="1:2" x14ac:dyDescent="0.3">
      <c r="A2198" s="2">
        <v>45749.5</v>
      </c>
      <c r="B2198">
        <f>4021.57010617383*(3/4)</f>
        <v>3016.1775796303755</v>
      </c>
    </row>
    <row r="2199" spans="1:2" x14ac:dyDescent="0.3">
      <c r="A2199" s="2">
        <v>45749.541666666657</v>
      </c>
      <c r="B2199">
        <f>4316.26196604626*(3/4)</f>
        <v>3237.1964745346913</v>
      </c>
    </row>
    <row r="2200" spans="1:2" x14ac:dyDescent="0.3">
      <c r="A2200" s="2">
        <v>45749.583333333343</v>
      </c>
      <c r="B2200">
        <f>3828.15724686907*(3/4)</f>
        <v>2871.117935151799</v>
      </c>
    </row>
    <row r="2201" spans="1:2" x14ac:dyDescent="0.3">
      <c r="A2201" s="2">
        <v>45749.625</v>
      </c>
      <c r="B2201">
        <f>4136.77425261865*(3/4)</f>
        <v>3102.5806894639873</v>
      </c>
    </row>
    <row r="2202" spans="1:2" x14ac:dyDescent="0.3">
      <c r="A2202" s="2">
        <v>45749.666666666657</v>
      </c>
      <c r="B2202">
        <f>4272.33787960003*(3/4)</f>
        <v>3204.2534097000234</v>
      </c>
    </row>
    <row r="2203" spans="1:2" x14ac:dyDescent="0.3">
      <c r="A2203" s="2">
        <v>45749.708333333343</v>
      </c>
      <c r="B2203">
        <f>4029.80597164593*(3/4)</f>
        <v>3022.354478734444</v>
      </c>
    </row>
    <row r="2204" spans="1:2" x14ac:dyDescent="0.3">
      <c r="A2204" s="2">
        <v>45749.75</v>
      </c>
      <c r="B2204">
        <f>3773.96751153111*(3/4)</f>
        <v>2830.475633648331</v>
      </c>
    </row>
    <row r="2205" spans="1:2" x14ac:dyDescent="0.3">
      <c r="A2205" s="2">
        <v>45749.791666666657</v>
      </c>
      <c r="B2205">
        <f>3977.11691722227*(3/4)</f>
        <v>2982.8376879167026</v>
      </c>
    </row>
    <row r="2206" spans="1:2" x14ac:dyDescent="0.3">
      <c r="A2206" s="2">
        <v>45749.833333333343</v>
      </c>
      <c r="B2206">
        <f>4138.08142390178*(3/4)</f>
        <v>3103.5610679263373</v>
      </c>
    </row>
    <row r="2207" spans="1:2" x14ac:dyDescent="0.3">
      <c r="A2207" s="2">
        <v>45749.875</v>
      </c>
      <c r="B2207">
        <f>3911.51368967598*(3/4)</f>
        <v>2933.6352672569865</v>
      </c>
    </row>
    <row r="2208" spans="1:2" x14ac:dyDescent="0.3">
      <c r="A2208" s="2">
        <v>45749.916666666657</v>
      </c>
      <c r="B2208">
        <f>3591.94063674512*(3/4)</f>
        <v>2693.9554775588413</v>
      </c>
    </row>
    <row r="2209" spans="1:2" x14ac:dyDescent="0.3">
      <c r="A2209" s="2">
        <v>45749.958333333343</v>
      </c>
      <c r="B2209">
        <f>3782.6888190525*(3/4)</f>
        <v>2837.0166142893759</v>
      </c>
    </row>
    <row r="2210" spans="1:2" x14ac:dyDescent="0.3">
      <c r="A2210" s="2">
        <v>45750</v>
      </c>
      <c r="B2210">
        <f>3799.34453407023*(3/4)</f>
        <v>2849.5084005526687</v>
      </c>
    </row>
    <row r="2211" spans="1:2" x14ac:dyDescent="0.3">
      <c r="A2211" s="2">
        <v>45750.041666666657</v>
      </c>
      <c r="B2211">
        <f>4064.07200594187*(3/4)</f>
        <v>3048.0540044564032</v>
      </c>
    </row>
    <row r="2212" spans="1:2" x14ac:dyDescent="0.3">
      <c r="A2212" s="2">
        <v>45750.083333333343</v>
      </c>
      <c r="B2212">
        <f>3976.3648212433*(3/4)</f>
        <v>2982.2736159324727</v>
      </c>
    </row>
    <row r="2213" spans="1:2" x14ac:dyDescent="0.3">
      <c r="A2213" s="2">
        <v>45750.125</v>
      </c>
      <c r="B2213">
        <f>3977.47056612265*(3/4)</f>
        <v>2983.102924591989</v>
      </c>
    </row>
    <row r="2214" spans="1:2" x14ac:dyDescent="0.3">
      <c r="A2214" s="2">
        <v>45750.166666666657</v>
      </c>
      <c r="B2214">
        <f>3866.34751215151*(3/4)</f>
        <v>2899.7606341136343</v>
      </c>
    </row>
    <row r="2215" spans="1:2" x14ac:dyDescent="0.3">
      <c r="A2215" s="2">
        <v>45750.208333333343</v>
      </c>
      <c r="B2215">
        <f>3777.32205856167*(3/4)</f>
        <v>2832.9915439212486</v>
      </c>
    </row>
    <row r="2216" spans="1:2" x14ac:dyDescent="0.3">
      <c r="A2216" s="2">
        <v>45750.25</v>
      </c>
      <c r="B2216">
        <f>3917.19808347473*(3/4)</f>
        <v>2937.8985626060457</v>
      </c>
    </row>
    <row r="2217" spans="1:2" x14ac:dyDescent="0.3">
      <c r="A2217" s="2">
        <v>45750.291666666657</v>
      </c>
      <c r="B2217">
        <f>4027.18986874247*(3/4)</f>
        <v>3020.3924015568487</v>
      </c>
    </row>
    <row r="2218" spans="1:2" x14ac:dyDescent="0.3">
      <c r="A2218" s="2">
        <v>45750.333333333343</v>
      </c>
      <c r="B2218">
        <f>3809.15618288144*(3/4)</f>
        <v>2856.8671371610822</v>
      </c>
    </row>
    <row r="2219" spans="1:2" x14ac:dyDescent="0.3">
      <c r="A2219" s="2">
        <v>45750.375</v>
      </c>
      <c r="B2219">
        <f>4070.39444746216*(3/4)</f>
        <v>3052.795835596618</v>
      </c>
    </row>
    <row r="2220" spans="1:2" x14ac:dyDescent="0.3">
      <c r="A2220" s="2">
        <v>45750.416666666657</v>
      </c>
      <c r="B2220">
        <f>4074.82791957882*(3/4)</f>
        <v>3056.1209396841136</v>
      </c>
    </row>
    <row r="2221" spans="1:2" x14ac:dyDescent="0.3">
      <c r="A2221" s="2">
        <v>45750.458333333343</v>
      </c>
      <c r="B2221">
        <f>4013.23857100283*(3/4)</f>
        <v>3009.9289282521204</v>
      </c>
    </row>
    <row r="2222" spans="1:2" x14ac:dyDescent="0.3">
      <c r="A2222" s="2">
        <v>45750.5</v>
      </c>
      <c r="B2222">
        <f>3550.22745635858*(3/4)</f>
        <v>2662.6705922689366</v>
      </c>
    </row>
    <row r="2223" spans="1:2" x14ac:dyDescent="0.3">
      <c r="A2223" s="2">
        <v>45750.541666666657</v>
      </c>
      <c r="B2223">
        <f>3912.08298367491*(3/4)</f>
        <v>2934.0622377561804</v>
      </c>
    </row>
    <row r="2224" spans="1:2" x14ac:dyDescent="0.3">
      <c r="A2224" s="2">
        <v>45750.583333333343</v>
      </c>
      <c r="B2224">
        <f>4051.12412042974*(3/4)</f>
        <v>3038.3430903223079</v>
      </c>
    </row>
    <row r="2225" spans="1:2" x14ac:dyDescent="0.3">
      <c r="A2225" s="2">
        <v>45750.625</v>
      </c>
      <c r="B2225">
        <f>4054.90354451209*(3/4)</f>
        <v>3041.1776583840697</v>
      </c>
    </row>
    <row r="2226" spans="1:2" x14ac:dyDescent="0.3">
      <c r="A2226" s="2">
        <v>45750.666666666657</v>
      </c>
      <c r="B2226">
        <f>3720.9885025117*(3/4)</f>
        <v>2790.7413768837732</v>
      </c>
    </row>
    <row r="2227" spans="1:2" x14ac:dyDescent="0.3">
      <c r="A2227" s="2">
        <v>45750.708333333343</v>
      </c>
      <c r="B2227">
        <f>3717.97642945753*(3/4)</f>
        <v>2788.4823220931485</v>
      </c>
    </row>
    <row r="2228" spans="1:2" x14ac:dyDescent="0.3">
      <c r="A2228" s="2">
        <v>45750.75</v>
      </c>
      <c r="B2228">
        <f>3922.85329780617*(3/4)</f>
        <v>2942.1399733546295</v>
      </c>
    </row>
    <row r="2229" spans="1:2" x14ac:dyDescent="0.3">
      <c r="A2229" s="2">
        <v>45750.791666666657</v>
      </c>
      <c r="B2229">
        <f>4090.55605965553*(3/4)</f>
        <v>3067.9170447416459</v>
      </c>
    </row>
    <row r="2230" spans="1:2" x14ac:dyDescent="0.3">
      <c r="A2230" s="2">
        <v>45750.833333333343</v>
      </c>
      <c r="B2230">
        <f>3912.51565251109*(3/4)</f>
        <v>2934.3867393833166</v>
      </c>
    </row>
    <row r="2231" spans="1:2" x14ac:dyDescent="0.3">
      <c r="A2231" s="2">
        <v>45750.875</v>
      </c>
      <c r="B2231">
        <f>3945.01355668305*(3/4)</f>
        <v>2958.7601675122869</v>
      </c>
    </row>
    <row r="2232" spans="1:2" x14ac:dyDescent="0.3">
      <c r="A2232" s="2">
        <v>45750.916666666657</v>
      </c>
      <c r="B2232">
        <f>3770.95820323547*(3/4)</f>
        <v>2828.2186524265994</v>
      </c>
    </row>
    <row r="2233" spans="1:2" x14ac:dyDescent="0.3">
      <c r="A2233" s="2">
        <v>45750.958333333343</v>
      </c>
      <c r="B2233">
        <f>3940.32198847306*(3/4)</f>
        <v>2955.2414913547941</v>
      </c>
    </row>
    <row r="2234" spans="1:2" x14ac:dyDescent="0.3">
      <c r="A2234" s="2">
        <v>45751</v>
      </c>
      <c r="B2234">
        <f>3896.71381621936*(3/4)</f>
        <v>2922.5353621645172</v>
      </c>
    </row>
    <row r="2235" spans="1:2" x14ac:dyDescent="0.3">
      <c r="A2235" s="2">
        <v>45751.041666666657</v>
      </c>
      <c r="B2235">
        <f>3848.13573304366*(3/4)</f>
        <v>2886.1017997827485</v>
      </c>
    </row>
    <row r="2236" spans="1:2" x14ac:dyDescent="0.3">
      <c r="A2236" s="2">
        <v>45751.083333333343</v>
      </c>
      <c r="B2236">
        <f>3912.10322971721*(3/4)</f>
        <v>2934.0774222879081</v>
      </c>
    </row>
    <row r="2237" spans="1:2" x14ac:dyDescent="0.3">
      <c r="A2237" s="2">
        <v>45751.125</v>
      </c>
      <c r="B2237">
        <f>3896.09815416105*(3/4)</f>
        <v>2922.073615620789</v>
      </c>
    </row>
    <row r="2238" spans="1:2" x14ac:dyDescent="0.3">
      <c r="A2238" s="2">
        <v>45751.166666666657</v>
      </c>
      <c r="B2238">
        <f>3716.35255911779*(3/4)</f>
        <v>2787.2644193383417</v>
      </c>
    </row>
    <row r="2239" spans="1:2" x14ac:dyDescent="0.3">
      <c r="A2239" s="2">
        <v>45751.208333333343</v>
      </c>
      <c r="B2239">
        <f>3835.3686024053*(3/4)</f>
        <v>2876.5264518039767</v>
      </c>
    </row>
    <row r="2240" spans="1:2" x14ac:dyDescent="0.3">
      <c r="A2240" s="2">
        <v>45751.25</v>
      </c>
      <c r="B2240">
        <f>3553.71552392078*(3/4)</f>
        <v>2665.2866429405876</v>
      </c>
    </row>
    <row r="2241" spans="1:2" x14ac:dyDescent="0.3">
      <c r="A2241" s="2">
        <v>45751.291666666657</v>
      </c>
      <c r="B2241">
        <f>4159.50014282807*(3/4)</f>
        <v>3119.625107121049</v>
      </c>
    </row>
    <row r="2242" spans="1:2" x14ac:dyDescent="0.3">
      <c r="A2242" s="2">
        <v>45751.333333333343</v>
      </c>
      <c r="B2242">
        <f>3922.92935791477*(3/4)</f>
        <v>2942.1970184360775</v>
      </c>
    </row>
    <row r="2243" spans="1:2" x14ac:dyDescent="0.3">
      <c r="A2243" s="2">
        <v>45751.375</v>
      </c>
      <c r="B2243">
        <f>4124.58373866837*(3/4)</f>
        <v>3093.4378040012789</v>
      </c>
    </row>
    <row r="2244" spans="1:2" x14ac:dyDescent="0.3">
      <c r="A2244" s="2">
        <v>45751.416666666657</v>
      </c>
      <c r="B2244">
        <f>3981.5961189265*(3/4)</f>
        <v>2986.1970891948786</v>
      </c>
    </row>
    <row r="2245" spans="1:2" x14ac:dyDescent="0.3">
      <c r="A2245" s="2">
        <v>45751.458333333343</v>
      </c>
      <c r="B2245">
        <f>3938.15124601417*(3/4)</f>
        <v>2953.6134345106302</v>
      </c>
    </row>
    <row r="2246" spans="1:2" x14ac:dyDescent="0.3">
      <c r="A2246" s="2">
        <v>45751.5</v>
      </c>
      <c r="B2246">
        <f>4125.00203754793*(3/4)</f>
        <v>3093.7515281609485</v>
      </c>
    </row>
    <row r="2247" spans="1:2" x14ac:dyDescent="0.3">
      <c r="A2247" s="2">
        <v>45751.541666666657</v>
      </c>
      <c r="B2247">
        <f>4348.14923823548*(3/4)</f>
        <v>3261.1119286766107</v>
      </c>
    </row>
    <row r="2248" spans="1:2" x14ac:dyDescent="0.3">
      <c r="A2248" s="2">
        <v>45751.583333333343</v>
      </c>
      <c r="B2248">
        <f>3559.12752792119*(3/4)</f>
        <v>2669.3456459408953</v>
      </c>
    </row>
    <row r="2249" spans="1:2" x14ac:dyDescent="0.3">
      <c r="A2249" s="2">
        <v>45751.625</v>
      </c>
      <c r="B2249">
        <f>3944.11438772568*(3/4)</f>
        <v>2958.0857907942586</v>
      </c>
    </row>
    <row r="2250" spans="1:2" x14ac:dyDescent="0.3">
      <c r="A2250" s="2">
        <v>45751.666666666657</v>
      </c>
      <c r="B2250">
        <f>4229.2689079518*(3/4)</f>
        <v>3171.9516809638503</v>
      </c>
    </row>
    <row r="2251" spans="1:2" x14ac:dyDescent="0.3">
      <c r="A2251" s="2">
        <v>45751.708333333343</v>
      </c>
      <c r="B2251">
        <f>3872.6956642926*(3/4)</f>
        <v>2904.5217482194471</v>
      </c>
    </row>
    <row r="2252" spans="1:2" x14ac:dyDescent="0.3">
      <c r="A2252" s="2">
        <v>45751.75</v>
      </c>
      <c r="B2252">
        <f>3866.72715051005*(3/4)</f>
        <v>2900.0453628825403</v>
      </c>
    </row>
    <row r="2253" spans="1:2" x14ac:dyDescent="0.3">
      <c r="A2253" s="2">
        <v>45751.791666666657</v>
      </c>
      <c r="B2253">
        <f>4052.31191325685*(3/4)</f>
        <v>3039.2339349426375</v>
      </c>
    </row>
    <row r="2254" spans="1:2" x14ac:dyDescent="0.3">
      <c r="A2254" s="2">
        <v>45751.833333333343</v>
      </c>
      <c r="B2254">
        <f>4128.44231988984*(3/4)</f>
        <v>3096.331739917382</v>
      </c>
    </row>
    <row r="2255" spans="1:2" x14ac:dyDescent="0.3">
      <c r="A2255" s="2">
        <v>45751.875</v>
      </c>
      <c r="B2255">
        <f>3956.80441161822*(3/4)</f>
        <v>2967.6033087136639</v>
      </c>
    </row>
    <row r="2256" spans="1:2" x14ac:dyDescent="0.3">
      <c r="A2256" s="2">
        <v>45751.916666666657</v>
      </c>
      <c r="B2256">
        <f>3711.78310933498*(3/4)</f>
        <v>2783.837332001237</v>
      </c>
    </row>
    <row r="2257" spans="1:2" x14ac:dyDescent="0.3">
      <c r="A2257" s="2">
        <v>45751.958333333343</v>
      </c>
      <c r="B2257">
        <f>3777.09942419403*(3/4)</f>
        <v>2832.824568145521</v>
      </c>
    </row>
    <row r="2258" spans="1:2" x14ac:dyDescent="0.3">
      <c r="A2258" s="2">
        <v>45752</v>
      </c>
      <c r="B2258">
        <f>3826.87620225311*(3/4)</f>
        <v>2870.1571516898321</v>
      </c>
    </row>
    <row r="2259" spans="1:2" x14ac:dyDescent="0.3">
      <c r="A2259" s="2">
        <v>45752.041666666657</v>
      </c>
      <c r="B2259">
        <f>3656.66486329177*(3/4)</f>
        <v>2742.4986474688244</v>
      </c>
    </row>
    <row r="2260" spans="1:2" x14ac:dyDescent="0.3">
      <c r="A2260" s="2">
        <v>45752.083333333343</v>
      </c>
      <c r="B2260">
        <f>3624.42497534134*(3/4)</f>
        <v>2718.3187315060063</v>
      </c>
    </row>
    <row r="2261" spans="1:2" x14ac:dyDescent="0.3">
      <c r="A2261" s="2">
        <v>45752.125</v>
      </c>
      <c r="B2261">
        <f>3989.43897298799*(3/4)</f>
        <v>2992.0792297409953</v>
      </c>
    </row>
    <row r="2262" spans="1:2" x14ac:dyDescent="0.3">
      <c r="A2262" s="2">
        <v>45752.166666666657</v>
      </c>
      <c r="B2262">
        <f>4084.12180340019*(3/4)</f>
        <v>3063.0913525501442</v>
      </c>
    </row>
    <row r="2263" spans="1:2" x14ac:dyDescent="0.3">
      <c r="A2263" s="2">
        <v>45752.208333333343</v>
      </c>
      <c r="B2263">
        <f>4022.89951976507*(3/4)</f>
        <v>3017.1746398237997</v>
      </c>
    </row>
    <row r="2264" spans="1:2" x14ac:dyDescent="0.3">
      <c r="A2264" s="2">
        <v>45752.25</v>
      </c>
      <c r="B2264">
        <f>3699.7454939284*(3/4)</f>
        <v>2774.8091204463021</v>
      </c>
    </row>
    <row r="2265" spans="1:2" x14ac:dyDescent="0.3">
      <c r="A2265" s="2">
        <v>45752.291666666657</v>
      </c>
      <c r="B2265">
        <f>3917.99043085418*(3/4)</f>
        <v>2938.4928231406375</v>
      </c>
    </row>
    <row r="2266" spans="1:2" x14ac:dyDescent="0.3">
      <c r="A2266" s="2">
        <v>45752.333333333343</v>
      </c>
      <c r="B2266">
        <f>4235.90371854909*(3/4)</f>
        <v>3176.9277889118152</v>
      </c>
    </row>
    <row r="2267" spans="1:2" x14ac:dyDescent="0.3">
      <c r="A2267" s="2">
        <v>45752.375</v>
      </c>
      <c r="B2267">
        <f>4106.65272962626*(3/4)</f>
        <v>3079.9895472196949</v>
      </c>
    </row>
    <row r="2268" spans="1:2" x14ac:dyDescent="0.3">
      <c r="A2268" s="2">
        <v>45752.416666666657</v>
      </c>
      <c r="B2268">
        <f>4139.07855649863*(3/4)</f>
        <v>3104.3089173739754</v>
      </c>
    </row>
    <row r="2269" spans="1:2" x14ac:dyDescent="0.3">
      <c r="A2269" s="2">
        <v>45752.458333333343</v>
      </c>
      <c r="B2269">
        <f>4242.89491946686*(3/4)</f>
        <v>3182.1711896001434</v>
      </c>
    </row>
    <row r="2270" spans="1:2" x14ac:dyDescent="0.3">
      <c r="A2270" s="2">
        <v>45752.5</v>
      </c>
      <c r="B2270">
        <f>4096.42201723515*(3/4)</f>
        <v>3072.3165129263607</v>
      </c>
    </row>
    <row r="2271" spans="1:2" x14ac:dyDescent="0.3">
      <c r="A2271" s="2">
        <v>45752.541666666657</v>
      </c>
      <c r="B2271">
        <f>4140.58670052545*(3/4)</f>
        <v>3105.4400253940867</v>
      </c>
    </row>
    <row r="2272" spans="1:2" x14ac:dyDescent="0.3">
      <c r="A2272" s="2">
        <v>45752.583333333343</v>
      </c>
      <c r="B2272">
        <f>3671.7248554409*(3/4)</f>
        <v>2753.7936415806735</v>
      </c>
    </row>
    <row r="2273" spans="1:2" x14ac:dyDescent="0.3">
      <c r="A2273" s="2">
        <v>45752.625</v>
      </c>
      <c r="B2273">
        <f>3870.25721974667*(3/4)</f>
        <v>2902.6929148100016</v>
      </c>
    </row>
    <row r="2274" spans="1:2" x14ac:dyDescent="0.3">
      <c r="A2274" s="2">
        <v>45752.666666666657</v>
      </c>
      <c r="B2274">
        <f>4267.81633858953*(3/4)</f>
        <v>3200.8622539421503</v>
      </c>
    </row>
    <row r="2275" spans="1:2" x14ac:dyDescent="0.3">
      <c r="A2275" s="2">
        <v>45752.708333333343</v>
      </c>
      <c r="B2275">
        <f>3890.15933738404*(3/4)</f>
        <v>2917.6195030380313</v>
      </c>
    </row>
    <row r="2276" spans="1:2" x14ac:dyDescent="0.3">
      <c r="A2276" s="2">
        <v>45752.75</v>
      </c>
      <c r="B2276">
        <f>4291.50722921405*(3/4)</f>
        <v>3218.6304219105368</v>
      </c>
    </row>
    <row r="2277" spans="1:2" x14ac:dyDescent="0.3">
      <c r="A2277" s="2">
        <v>45752.791666666657</v>
      </c>
      <c r="B2277">
        <f>4137.40650224435*(3/4)</f>
        <v>3103.0548766832653</v>
      </c>
    </row>
    <row r="2278" spans="1:2" x14ac:dyDescent="0.3">
      <c r="A2278" s="2">
        <v>45752.833333333343</v>
      </c>
      <c r="B2278">
        <f>4278.46347729397*(3/4)</f>
        <v>3208.8476079704797</v>
      </c>
    </row>
    <row r="2279" spans="1:2" x14ac:dyDescent="0.3">
      <c r="A2279" s="2">
        <v>45752.875</v>
      </c>
      <c r="B2279">
        <f>4117.49649437757*(3/4)</f>
        <v>3088.1223707831741</v>
      </c>
    </row>
    <row r="2280" spans="1:2" x14ac:dyDescent="0.3">
      <c r="A2280" s="2">
        <v>45752.916666666657</v>
      </c>
      <c r="B2280">
        <f>3816.46748883397*(3/4)</f>
        <v>2862.3506166254801</v>
      </c>
    </row>
    <row r="2281" spans="1:2" x14ac:dyDescent="0.3">
      <c r="A2281" s="2">
        <v>45752.958333333343</v>
      </c>
      <c r="B2281">
        <f>3993.41738680253*(3/4)</f>
        <v>2995.063040101898</v>
      </c>
    </row>
    <row r="2282" spans="1:2" x14ac:dyDescent="0.3">
      <c r="A2282" s="2">
        <v>45753</v>
      </c>
      <c r="B2282">
        <f>4035.53972716604*(3/4)</f>
        <v>3026.6547953745294</v>
      </c>
    </row>
    <row r="2283" spans="1:2" x14ac:dyDescent="0.3">
      <c r="A2283" s="2">
        <v>45753.041666666657</v>
      </c>
      <c r="B2283">
        <f>3858.38972466578*(3/4)</f>
        <v>2893.792293499338</v>
      </c>
    </row>
    <row r="2284" spans="1:2" x14ac:dyDescent="0.3">
      <c r="A2284" s="2">
        <v>45753.083333333343</v>
      </c>
      <c r="B2284">
        <f>4042.60500601418*(3/4)</f>
        <v>3031.953754510635</v>
      </c>
    </row>
    <row r="2285" spans="1:2" x14ac:dyDescent="0.3">
      <c r="A2285" s="2">
        <v>45753.125</v>
      </c>
      <c r="B2285">
        <f>3894.95920742727*(3/4)</f>
        <v>2921.2194055704526</v>
      </c>
    </row>
    <row r="2286" spans="1:2" x14ac:dyDescent="0.3">
      <c r="A2286" s="2">
        <v>45753.166666666657</v>
      </c>
      <c r="B2286">
        <f>4090.43011360161*(3/4)</f>
        <v>3067.822585201206</v>
      </c>
    </row>
    <row r="2287" spans="1:2" x14ac:dyDescent="0.3">
      <c r="A2287" s="2">
        <v>45753.208333333343</v>
      </c>
      <c r="B2287">
        <f>4030.65597161338*(3/4)</f>
        <v>3022.9919787100325</v>
      </c>
    </row>
    <row r="2288" spans="1:2" x14ac:dyDescent="0.3">
      <c r="A2288" s="2">
        <v>45753.25</v>
      </c>
      <c r="B2288">
        <f>3854.52642431592*(3/4)</f>
        <v>2890.8948182369404</v>
      </c>
    </row>
    <row r="2289" spans="1:2" x14ac:dyDescent="0.3">
      <c r="A2289" s="2">
        <v>45753.291666666657</v>
      </c>
      <c r="B2289">
        <f>3997.21718293592*(3/4)</f>
        <v>2997.9128872019423</v>
      </c>
    </row>
    <row r="2290" spans="1:2" x14ac:dyDescent="0.3">
      <c r="A2290" s="2">
        <v>45753.333333333343</v>
      </c>
      <c r="B2290">
        <f>3069.95130402644*(3/4)</f>
        <v>2302.4634780198307</v>
      </c>
    </row>
    <row r="2291" spans="1:2" x14ac:dyDescent="0.3">
      <c r="A2291" s="2">
        <v>45753.375</v>
      </c>
      <c r="B2291">
        <f>2840.5328634906*(3/4)</f>
        <v>2130.3996476179486</v>
      </c>
    </row>
    <row r="2292" spans="1:2" x14ac:dyDescent="0.3">
      <c r="A2292" s="2">
        <v>45753.416666666657</v>
      </c>
      <c r="B2292">
        <f>3344.07990797411*(3/4)</f>
        <v>2508.059930980583</v>
      </c>
    </row>
    <row r="2293" spans="1:2" x14ac:dyDescent="0.3">
      <c r="A2293" s="2">
        <v>45753.458333333343</v>
      </c>
      <c r="B2293">
        <f>3503.44880542939*(3/4)</f>
        <v>2627.5866040720389</v>
      </c>
    </row>
    <row r="2294" spans="1:2" x14ac:dyDescent="0.3">
      <c r="A2294" s="2">
        <v>45753.5</v>
      </c>
      <c r="B2294">
        <f>3113.76419668751*(3/4)</f>
        <v>2335.323147515634</v>
      </c>
    </row>
    <row r="2295" spans="1:2" x14ac:dyDescent="0.3">
      <c r="A2295" s="2">
        <v>45753.541666666657</v>
      </c>
      <c r="B2295">
        <f>3096.78806577776*(3/4)</f>
        <v>2322.5910493333213</v>
      </c>
    </row>
    <row r="2296" spans="1:2" x14ac:dyDescent="0.3">
      <c r="A2296" s="2">
        <v>45753.583333333343</v>
      </c>
      <c r="B2296">
        <f>2962.28039949544*(3/4)</f>
        <v>2221.710299621579</v>
      </c>
    </row>
    <row r="2297" spans="1:2" x14ac:dyDescent="0.3">
      <c r="A2297" s="2">
        <v>45753.625</v>
      </c>
      <c r="B2297">
        <f>3495.83077861585*(3/4)</f>
        <v>2621.8730839618875</v>
      </c>
    </row>
    <row r="2298" spans="1:2" x14ac:dyDescent="0.3">
      <c r="A2298" s="2">
        <v>45753.666666666657</v>
      </c>
      <c r="B2298">
        <f>2960.90141551371*(3/4)</f>
        <v>2220.6760616352831</v>
      </c>
    </row>
    <row r="2299" spans="1:2" x14ac:dyDescent="0.3">
      <c r="A2299" s="2">
        <v>45753.708333333343</v>
      </c>
      <c r="B2299">
        <f>4084.1582292894*(3/4)</f>
        <v>3063.11867196705</v>
      </c>
    </row>
    <row r="2300" spans="1:2" x14ac:dyDescent="0.3">
      <c r="A2300" s="2">
        <v>45753.75</v>
      </c>
      <c r="B2300">
        <f>4042.71307348378*(3/4)</f>
        <v>3032.0348051128321</v>
      </c>
    </row>
    <row r="2301" spans="1:2" x14ac:dyDescent="0.3">
      <c r="A2301" s="2">
        <v>45753.791666666657</v>
      </c>
      <c r="B2301">
        <f>4115.0647759023*(3/4)</f>
        <v>3086.2985819267278</v>
      </c>
    </row>
    <row r="2302" spans="1:2" x14ac:dyDescent="0.3">
      <c r="A2302" s="2">
        <v>45753.833333333343</v>
      </c>
      <c r="B2302">
        <f>4129.68597580558*(3/4)</f>
        <v>3097.264481854183</v>
      </c>
    </row>
    <row r="2303" spans="1:2" x14ac:dyDescent="0.3">
      <c r="A2303" s="2">
        <v>45753.875</v>
      </c>
      <c r="B2303">
        <f>4036.51691864148*(3/4)</f>
        <v>3027.3876889811072</v>
      </c>
    </row>
    <row r="2304" spans="1:2" x14ac:dyDescent="0.3">
      <c r="A2304" s="2">
        <v>45753.916666666657</v>
      </c>
      <c r="B2304">
        <f>3757.22966900528*(3/4)</f>
        <v>2817.9222517539615</v>
      </c>
    </row>
    <row r="2305" spans="1:2" x14ac:dyDescent="0.3">
      <c r="A2305" s="2">
        <v>45753.958333333343</v>
      </c>
      <c r="B2305">
        <f>3805.52144879219*(3/4)</f>
        <v>2854.1410865941416</v>
      </c>
    </row>
    <row r="2306" spans="1:2" x14ac:dyDescent="0.3">
      <c r="A2306" s="2">
        <v>45754</v>
      </c>
      <c r="B2306">
        <f>3801.53965220747*(3/4)</f>
        <v>2851.154739155601</v>
      </c>
    </row>
    <row r="2307" spans="1:2" x14ac:dyDescent="0.3">
      <c r="A2307" s="2">
        <v>45754.041666666657</v>
      </c>
      <c r="B2307">
        <f>3809.03819042392*(3/4)</f>
        <v>2856.7786428179379</v>
      </c>
    </row>
    <row r="2308" spans="1:2" x14ac:dyDescent="0.3">
      <c r="A2308" s="2">
        <v>45754.083333333343</v>
      </c>
      <c r="B2308">
        <f>3940.94278341408*(3/4)</f>
        <v>2955.7070875605614</v>
      </c>
    </row>
    <row r="2309" spans="1:2" x14ac:dyDescent="0.3">
      <c r="A2309" s="2">
        <v>45754.125</v>
      </c>
      <c r="B2309">
        <f>4005.09130817446*(3/4)</f>
        <v>3003.818481130842</v>
      </c>
    </row>
    <row r="2310" spans="1:2" x14ac:dyDescent="0.3">
      <c r="A2310" s="2">
        <v>45754.166666666657</v>
      </c>
      <c r="B2310">
        <f>3704.32442994939*(3/4)</f>
        <v>2778.2433224620463</v>
      </c>
    </row>
    <row r="2311" spans="1:2" x14ac:dyDescent="0.3">
      <c r="A2311" s="2">
        <v>45754.208333333343</v>
      </c>
      <c r="B2311">
        <f>4095.58612878392*(3/4)</f>
        <v>3071.6895965879385</v>
      </c>
    </row>
    <row r="2312" spans="1:2" x14ac:dyDescent="0.3">
      <c r="A2312" s="2">
        <v>45754.25</v>
      </c>
      <c r="B2312">
        <f>3812.54844576897*(3/4)</f>
        <v>2859.41133432673</v>
      </c>
    </row>
    <row r="2313" spans="1:2" x14ac:dyDescent="0.3">
      <c r="A2313" s="2">
        <v>45754.291666666657</v>
      </c>
      <c r="B2313">
        <f>4061.90363403414*(3/4)</f>
        <v>3046.4277255256056</v>
      </c>
    </row>
    <row r="2314" spans="1:2" x14ac:dyDescent="0.3">
      <c r="A2314" s="2">
        <v>45754.333333333343</v>
      </c>
      <c r="B2314">
        <f>4123.88319855567*(3/4)</f>
        <v>3092.9123989167538</v>
      </c>
    </row>
    <row r="2315" spans="1:2" x14ac:dyDescent="0.3">
      <c r="A2315" s="2">
        <v>45754.375</v>
      </c>
      <c r="B2315">
        <f>4256.7662876581*(3/4)</f>
        <v>3192.5747157435771</v>
      </c>
    </row>
    <row r="2316" spans="1:2" x14ac:dyDescent="0.3">
      <c r="A2316" s="2">
        <v>45754.416666666657</v>
      </c>
      <c r="B2316">
        <f>4043.19648420259*(3/4)</f>
        <v>3032.397363151942</v>
      </c>
    </row>
    <row r="2317" spans="1:2" x14ac:dyDescent="0.3">
      <c r="A2317" s="2">
        <v>45754.458333333343</v>
      </c>
      <c r="B2317">
        <f>4217.0562268467*(3/4)</f>
        <v>3162.7921701350278</v>
      </c>
    </row>
    <row r="2318" spans="1:2" x14ac:dyDescent="0.3">
      <c r="A2318" s="2">
        <v>45754.5</v>
      </c>
      <c r="B2318">
        <f>4123.21305351879*(3/4)</f>
        <v>3092.4097901390905</v>
      </c>
    </row>
    <row r="2319" spans="1:2" x14ac:dyDescent="0.3">
      <c r="A2319" s="2">
        <v>45754.541666666657</v>
      </c>
      <c r="B2319">
        <f>3963.85126843571*(3/4)</f>
        <v>2972.8884513267808</v>
      </c>
    </row>
    <row r="2320" spans="1:2" x14ac:dyDescent="0.3">
      <c r="A2320" s="2">
        <v>45754.583333333343</v>
      </c>
      <c r="B2320">
        <f>3936.2070467709*(3/4)</f>
        <v>2952.1552850781727</v>
      </c>
    </row>
    <row r="2321" spans="1:2" x14ac:dyDescent="0.3">
      <c r="A2321" s="2">
        <v>45754.625</v>
      </c>
      <c r="B2321">
        <f>3959.21252753422*(3/4)</f>
        <v>2969.4093956506613</v>
      </c>
    </row>
    <row r="2322" spans="1:2" x14ac:dyDescent="0.3">
      <c r="A2322" s="2">
        <v>45754.666666666657</v>
      </c>
      <c r="B2322">
        <f>4309.66559555259*(3/4)</f>
        <v>3232.2491966644448</v>
      </c>
    </row>
    <row r="2323" spans="1:2" x14ac:dyDescent="0.3">
      <c r="A2323" s="2">
        <v>45754.708333333343</v>
      </c>
      <c r="B2323">
        <f>4133.87642124317*(3/4)</f>
        <v>3100.4073159323762</v>
      </c>
    </row>
    <row r="2324" spans="1:2" x14ac:dyDescent="0.3">
      <c r="A2324" s="2">
        <v>45754.75</v>
      </c>
      <c r="B2324">
        <f>3758.49200406617*(3/4)</f>
        <v>2818.8690030496268</v>
      </c>
    </row>
    <row r="2325" spans="1:2" x14ac:dyDescent="0.3">
      <c r="A2325" s="2">
        <v>45754.791666666657</v>
      </c>
      <c r="B2325">
        <f>3771.80946071738*(3/4)</f>
        <v>2828.857095538036</v>
      </c>
    </row>
    <row r="2326" spans="1:2" x14ac:dyDescent="0.3">
      <c r="A2326" s="2">
        <v>45754.833333333343</v>
      </c>
      <c r="B2326">
        <f>3978.12767303748*(3/4)</f>
        <v>2983.5957547781118</v>
      </c>
    </row>
    <row r="2327" spans="1:2" x14ac:dyDescent="0.3">
      <c r="A2327" s="2">
        <v>45754.875</v>
      </c>
      <c r="B2327">
        <f>4092.74179129251*(3/4)</f>
        <v>3069.556343469385</v>
      </c>
    </row>
    <row r="2328" spans="1:2" x14ac:dyDescent="0.3">
      <c r="A2328" s="2">
        <v>45754.916666666657</v>
      </c>
      <c r="B2328">
        <f>3906.23254037925*(3/4)</f>
        <v>2929.6744052844388</v>
      </c>
    </row>
    <row r="2329" spans="1:2" x14ac:dyDescent="0.3">
      <c r="A2329" s="2">
        <v>45754.958333333343</v>
      </c>
      <c r="B2329">
        <f>4064.7043938285*(3/4)</f>
        <v>3048.5282953713759</v>
      </c>
    </row>
    <row r="2330" spans="1:2" x14ac:dyDescent="0.3">
      <c r="A2330" s="2">
        <v>45755</v>
      </c>
      <c r="B2330">
        <f>3680.94662669493*(3/4)</f>
        <v>2760.7099700211961</v>
      </c>
    </row>
    <row r="2331" spans="1:2" x14ac:dyDescent="0.3">
      <c r="A2331" s="2">
        <v>45755.041666666657</v>
      </c>
      <c r="B2331">
        <f>3781.87488601213*(3/4)</f>
        <v>2836.4061645091006</v>
      </c>
    </row>
    <row r="2332" spans="1:2" x14ac:dyDescent="0.3">
      <c r="A2332" s="2">
        <v>45755.083333333343</v>
      </c>
      <c r="B2332">
        <f>3714.00272267953*(3/4)</f>
        <v>2785.5020420096498</v>
      </c>
    </row>
    <row r="2333" spans="1:2" x14ac:dyDescent="0.3">
      <c r="A2333" s="2">
        <v>45755.125</v>
      </c>
      <c r="B2333">
        <f>3890.98916294731*(3/4)</f>
        <v>2918.2418722104817</v>
      </c>
    </row>
    <row r="2334" spans="1:2" x14ac:dyDescent="0.3">
      <c r="A2334" s="2">
        <v>45755.166666666657</v>
      </c>
      <c r="B2334">
        <f>3619.72051155159*(3/4)</f>
        <v>2714.7903836636956</v>
      </c>
    </row>
    <row r="2335" spans="1:2" x14ac:dyDescent="0.3">
      <c r="A2335" s="2">
        <v>45755.208333333343</v>
      </c>
      <c r="B2335">
        <f>4025.00768474744*(3/4)</f>
        <v>3018.7557635605776</v>
      </c>
    </row>
    <row r="2336" spans="1:2" x14ac:dyDescent="0.3">
      <c r="A2336" s="2">
        <v>45755.25</v>
      </c>
      <c r="B2336">
        <f>3672.30319385114*(3/4)</f>
        <v>2754.227395388355</v>
      </c>
    </row>
    <row r="2337" spans="1:2" x14ac:dyDescent="0.3">
      <c r="A2337" s="2">
        <v>45755.291666666657</v>
      </c>
      <c r="B2337">
        <f>3889.72232598578*(3/4)</f>
        <v>2917.2917444893355</v>
      </c>
    </row>
    <row r="2338" spans="1:2" x14ac:dyDescent="0.3">
      <c r="A2338" s="2">
        <v>45755.333333333343</v>
      </c>
      <c r="B2338">
        <f>3919.60530516278*(3/4)</f>
        <v>2939.7039788720881</v>
      </c>
    </row>
    <row r="2339" spans="1:2" x14ac:dyDescent="0.3">
      <c r="A2339" s="2">
        <v>45755.375</v>
      </c>
      <c r="B2339">
        <f>4182.71883225794*(3/4)</f>
        <v>3137.0391241934553</v>
      </c>
    </row>
    <row r="2340" spans="1:2" x14ac:dyDescent="0.3">
      <c r="A2340" s="2">
        <v>45755.416666666657</v>
      </c>
      <c r="B2340">
        <f>3977.69306609758*(3/4)</f>
        <v>2983.2697995731887</v>
      </c>
    </row>
    <row r="2341" spans="1:2" x14ac:dyDescent="0.3">
      <c r="A2341" s="2">
        <v>45755.458333333343</v>
      </c>
      <c r="B2341">
        <f>3928.5227650018*(3/4)</f>
        <v>2946.3920737513531</v>
      </c>
    </row>
    <row r="2342" spans="1:2" x14ac:dyDescent="0.3">
      <c r="A2342" s="2">
        <v>45755.5</v>
      </c>
      <c r="B2342">
        <f>4618.09698770145*(3/4)</f>
        <v>3463.5727407760905</v>
      </c>
    </row>
    <row r="2343" spans="1:2" x14ac:dyDescent="0.3">
      <c r="A2343" s="2">
        <v>45755.541666666657</v>
      </c>
      <c r="B2343">
        <f>4099.96795146638*(3/4)</f>
        <v>3074.9759635997843</v>
      </c>
    </row>
    <row r="2344" spans="1:2" x14ac:dyDescent="0.3">
      <c r="A2344" s="2">
        <v>45755.583333333343</v>
      </c>
      <c r="B2344">
        <f>3914.29917515183*(3/4)</f>
        <v>2935.7243813638761</v>
      </c>
    </row>
    <row r="2345" spans="1:2" x14ac:dyDescent="0.3">
      <c r="A2345" s="2">
        <v>45755.625</v>
      </c>
      <c r="B2345">
        <f>4190.34620283294*(3/4)</f>
        <v>3142.7596521247074</v>
      </c>
    </row>
    <row r="2346" spans="1:2" x14ac:dyDescent="0.3">
      <c r="A2346" s="2">
        <v>45755.666666666657</v>
      </c>
      <c r="B2346">
        <f>3983.36291539147*(3/4)</f>
        <v>2987.5221865435992</v>
      </c>
    </row>
    <row r="2347" spans="1:2" x14ac:dyDescent="0.3">
      <c r="A2347" s="2">
        <v>45755.708333333343</v>
      </c>
      <c r="B2347">
        <f>4180.55924883846*(3/4)</f>
        <v>3135.4194366288457</v>
      </c>
    </row>
    <row r="2348" spans="1:2" x14ac:dyDescent="0.3">
      <c r="A2348" s="2">
        <v>45755.75</v>
      </c>
      <c r="B2348">
        <f>3872.26419367549*(3/4)</f>
        <v>2904.1981452566151</v>
      </c>
    </row>
    <row r="2349" spans="1:2" x14ac:dyDescent="0.3">
      <c r="A2349" s="2">
        <v>45755.791666666657</v>
      </c>
      <c r="B2349">
        <f>4122.71340594391*(3/4)</f>
        <v>3092.035054457936</v>
      </c>
    </row>
    <row r="2350" spans="1:2" x14ac:dyDescent="0.3">
      <c r="A2350" s="2">
        <v>45755.833333333343</v>
      </c>
      <c r="B2350">
        <f>3949.39277711513*(3/4)</f>
        <v>2962.0445828363499</v>
      </c>
    </row>
    <row r="2351" spans="1:2" x14ac:dyDescent="0.3">
      <c r="A2351" s="2">
        <v>45755.875</v>
      </c>
      <c r="B2351">
        <f>3921.98837317179*(3/4)</f>
        <v>2941.4912798788446</v>
      </c>
    </row>
    <row r="2352" spans="1:2" x14ac:dyDescent="0.3">
      <c r="A2352" s="2">
        <v>45755.916666666657</v>
      </c>
      <c r="B2352">
        <f>3863.19195884454*(3/4)</f>
        <v>2897.3939691334058</v>
      </c>
    </row>
    <row r="2353" spans="1:2" x14ac:dyDescent="0.3">
      <c r="A2353" s="2">
        <v>45755.958333333343</v>
      </c>
      <c r="B2353">
        <f>3758.03427222621*(3/4)</f>
        <v>2818.5257041696605</v>
      </c>
    </row>
    <row r="2354" spans="1:2" x14ac:dyDescent="0.3">
      <c r="A2354" s="2">
        <v>45756</v>
      </c>
      <c r="B2354">
        <f>3955.63533199678*(3/4)</f>
        <v>2966.7264989975856</v>
      </c>
    </row>
    <row r="2355" spans="1:2" x14ac:dyDescent="0.3">
      <c r="A2355" s="2">
        <v>45756.041666666657</v>
      </c>
      <c r="B2355">
        <f>4018.05688195277*(3/4)</f>
        <v>3013.5426614645748</v>
      </c>
    </row>
    <row r="2356" spans="1:2" x14ac:dyDescent="0.3">
      <c r="A2356" s="2">
        <v>45756.083333333343</v>
      </c>
      <c r="B2356">
        <f>3929.99772896498*(3/4)</f>
        <v>2947.498296723737</v>
      </c>
    </row>
    <row r="2357" spans="1:2" x14ac:dyDescent="0.3">
      <c r="A2357" s="2">
        <v>45756.125</v>
      </c>
      <c r="B2357">
        <f>3705.71096561321*(3/4)</f>
        <v>2779.2832242099057</v>
      </c>
    </row>
    <row r="2358" spans="1:2" x14ac:dyDescent="0.3">
      <c r="A2358" s="2">
        <v>45756.166666666657</v>
      </c>
      <c r="B2358">
        <f>4321.45415383588*(3/4)</f>
        <v>3241.0906153769101</v>
      </c>
    </row>
    <row r="2359" spans="1:2" x14ac:dyDescent="0.3">
      <c r="A2359" s="2">
        <v>45756.208333333343</v>
      </c>
      <c r="B2359">
        <f>4035.68810176164*(3/4)</f>
        <v>3026.7660763212261</v>
      </c>
    </row>
    <row r="2360" spans="1:2" x14ac:dyDescent="0.3">
      <c r="A2360" s="2">
        <v>45756.25</v>
      </c>
      <c r="B2360">
        <f>3572.88746298668*(3/4)</f>
        <v>2679.6655972400085</v>
      </c>
    </row>
    <row r="2361" spans="1:2" x14ac:dyDescent="0.3">
      <c r="A2361" s="2">
        <v>45756.291666666657</v>
      </c>
      <c r="B2361">
        <f>4106.25349851684*(3/4)</f>
        <v>3079.6901238876303</v>
      </c>
    </row>
    <row r="2362" spans="1:2" x14ac:dyDescent="0.3">
      <c r="A2362" s="2">
        <v>45756.333333333343</v>
      </c>
      <c r="B2362">
        <f>4142.33848094146*(3/4)</f>
        <v>3106.7538607060933</v>
      </c>
    </row>
    <row r="2363" spans="1:2" x14ac:dyDescent="0.3">
      <c r="A2363" s="2">
        <v>45756.375</v>
      </c>
      <c r="B2363">
        <f>4106.83008537584*(3/4)</f>
        <v>3080.1225640318826</v>
      </c>
    </row>
    <row r="2364" spans="1:2" x14ac:dyDescent="0.3">
      <c r="A2364" s="2">
        <v>45756.416666666657</v>
      </c>
      <c r="B2364">
        <f>3804.03592675732*(3/4)</f>
        <v>2853.026945067993</v>
      </c>
    </row>
    <row r="2365" spans="1:2" x14ac:dyDescent="0.3">
      <c r="A2365" s="2">
        <v>45756.458333333343</v>
      </c>
      <c r="B2365">
        <f>4312.46992389027*(3/4)</f>
        <v>3234.3524429177005</v>
      </c>
    </row>
    <row r="2366" spans="1:2" x14ac:dyDescent="0.3">
      <c r="A2366" s="2">
        <v>45756.5</v>
      </c>
      <c r="B2366">
        <f>3794.47212402231*(3/4)</f>
        <v>2845.854093016736</v>
      </c>
    </row>
    <row r="2367" spans="1:2" x14ac:dyDescent="0.3">
      <c r="A2367" s="2">
        <v>45756.541666666657</v>
      </c>
      <c r="B2367">
        <f>4096.41721277539*(3/4)</f>
        <v>3072.312909581542</v>
      </c>
    </row>
    <row r="2368" spans="1:2" x14ac:dyDescent="0.3">
      <c r="A2368" s="2">
        <v>45756.583333333343</v>
      </c>
      <c r="B2368">
        <f>3671.53629910727*(3/4)</f>
        <v>2753.6522243304489</v>
      </c>
    </row>
    <row r="2369" spans="1:2" x14ac:dyDescent="0.3">
      <c r="A2369" s="2">
        <v>45756.625</v>
      </c>
      <c r="B2369">
        <f>4276.96553862016*(3/4)</f>
        <v>3207.7241539651168</v>
      </c>
    </row>
    <row r="2370" spans="1:2" x14ac:dyDescent="0.3">
      <c r="A2370" s="2">
        <v>45756.666666666657</v>
      </c>
      <c r="B2370">
        <f>4239.78355754693*(3/4)</f>
        <v>3179.8376681601949</v>
      </c>
    </row>
    <row r="2371" spans="1:2" x14ac:dyDescent="0.3">
      <c r="A2371" s="2">
        <v>45756.708333333343</v>
      </c>
      <c r="B2371">
        <f>3885.72501829442*(3/4)</f>
        <v>2914.2937637208156</v>
      </c>
    </row>
    <row r="2372" spans="1:2" x14ac:dyDescent="0.3">
      <c r="A2372" s="2">
        <v>45756.75</v>
      </c>
      <c r="B2372">
        <f>4072.55211286168*(3/4)</f>
        <v>3054.4140846462615</v>
      </c>
    </row>
    <row r="2373" spans="1:2" x14ac:dyDescent="0.3">
      <c r="A2373" s="2">
        <v>45756.791666666657</v>
      </c>
      <c r="B2373">
        <f>3850.98135833964*(3/4)</f>
        <v>2888.2360187547292</v>
      </c>
    </row>
    <row r="2374" spans="1:2" x14ac:dyDescent="0.3">
      <c r="A2374" s="2">
        <v>45756.833333333343</v>
      </c>
      <c r="B2374">
        <f>4048.22169709448*(3/4)</f>
        <v>3036.1662728208621</v>
      </c>
    </row>
    <row r="2375" spans="1:2" x14ac:dyDescent="0.3">
      <c r="A2375" s="2">
        <v>45756.875</v>
      </c>
      <c r="B2375">
        <f>3984.17450251162*(3/4)</f>
        <v>2988.1308768837116</v>
      </c>
    </row>
    <row r="2376" spans="1:2" x14ac:dyDescent="0.3">
      <c r="A2376" s="2">
        <v>45756.916666666657</v>
      </c>
      <c r="B2376">
        <f>3735.9420930128*(3/4)</f>
        <v>2801.9565697595999</v>
      </c>
    </row>
    <row r="2377" spans="1:2" x14ac:dyDescent="0.3">
      <c r="A2377" s="2">
        <v>45756.958333333343</v>
      </c>
      <c r="B2377">
        <f>3705.71463936364*(3/4)</f>
        <v>2779.2859795227323</v>
      </c>
    </row>
    <row r="2378" spans="1:2" x14ac:dyDescent="0.3">
      <c r="A2378" s="2">
        <v>45757</v>
      </c>
      <c r="B2378">
        <f>4274.06864789192*(3/4)</f>
        <v>3205.5514859189379</v>
      </c>
    </row>
    <row r="2379" spans="1:2" x14ac:dyDescent="0.3">
      <c r="A2379" s="2">
        <v>45757.041666666657</v>
      </c>
      <c r="B2379">
        <f>4011.20805975476*(3/4)</f>
        <v>3008.4060448160685</v>
      </c>
    </row>
    <row r="2380" spans="1:2" x14ac:dyDescent="0.3">
      <c r="A2380" s="2">
        <v>45757.083333333343</v>
      </c>
      <c r="B2380">
        <f>4036.67007448198*(3/4)</f>
        <v>3027.502555861488</v>
      </c>
    </row>
    <row r="2381" spans="1:2" x14ac:dyDescent="0.3">
      <c r="A2381" s="2">
        <v>45757.125</v>
      </c>
      <c r="B2381">
        <f>3949.56594124365*(3/4)</f>
        <v>2962.1744559327344</v>
      </c>
    </row>
    <row r="2382" spans="1:2" x14ac:dyDescent="0.3">
      <c r="A2382" s="2">
        <v>45757.166666666657</v>
      </c>
      <c r="B2382">
        <f>3801.10749543113*(3/4)</f>
        <v>2850.8306215733464</v>
      </c>
    </row>
    <row r="2383" spans="1:2" x14ac:dyDescent="0.3">
      <c r="A2383" s="2">
        <v>45757.208333333343</v>
      </c>
      <c r="B2383">
        <f>4097.62558839697*(3/4)</f>
        <v>3073.2191912977269</v>
      </c>
    </row>
    <row r="2384" spans="1:2" x14ac:dyDescent="0.3">
      <c r="A2384" s="2">
        <v>45757.25</v>
      </c>
      <c r="B2384">
        <f>3973.11103860153*(3/4)</f>
        <v>2979.8332789511446</v>
      </c>
    </row>
    <row r="2385" spans="1:2" x14ac:dyDescent="0.3">
      <c r="A2385" s="2">
        <v>45757.291666666657</v>
      </c>
      <c r="B2385">
        <f>3885.81852750551*(3/4)</f>
        <v>2914.3638956291311</v>
      </c>
    </row>
    <row r="2386" spans="1:2" x14ac:dyDescent="0.3">
      <c r="A2386" s="2">
        <v>45757.333333333343</v>
      </c>
      <c r="B2386">
        <f>3801.91390274332*(3/4)</f>
        <v>2851.4354270574922</v>
      </c>
    </row>
    <row r="2387" spans="1:2" x14ac:dyDescent="0.3">
      <c r="A2387" s="2">
        <v>45757.375</v>
      </c>
      <c r="B2387">
        <f>3921.64408358695*(3/4)</f>
        <v>2941.2330626902149</v>
      </c>
    </row>
    <row r="2388" spans="1:2" x14ac:dyDescent="0.3">
      <c r="A2388" s="2">
        <v>45757.416666666657</v>
      </c>
      <c r="B2388">
        <f>3876.18356206299*(3/4)</f>
        <v>2907.1376715472456</v>
      </c>
    </row>
    <row r="2389" spans="1:2" x14ac:dyDescent="0.3">
      <c r="A2389" s="2">
        <v>45757.458333333343</v>
      </c>
      <c r="B2389">
        <f>4088.41563308112*(3/4)</f>
        <v>3066.311724810842</v>
      </c>
    </row>
    <row r="2390" spans="1:2" x14ac:dyDescent="0.3">
      <c r="A2390" s="2">
        <v>45757.5</v>
      </c>
      <c r="B2390">
        <f>4248.81384473215*(3/4)</f>
        <v>3186.610383549114</v>
      </c>
    </row>
    <row r="2391" spans="1:2" x14ac:dyDescent="0.3">
      <c r="A2391" s="2">
        <v>45757.541666666657</v>
      </c>
      <c r="B2391">
        <f>3947.89513786246*(3/4)</f>
        <v>2960.9213533968414</v>
      </c>
    </row>
    <row r="2392" spans="1:2" x14ac:dyDescent="0.3">
      <c r="A2392" s="2">
        <v>45757.583333333343</v>
      </c>
      <c r="B2392">
        <f>3762.91860109034*(3/4)</f>
        <v>2822.1889508177555</v>
      </c>
    </row>
    <row r="2393" spans="1:2" x14ac:dyDescent="0.3">
      <c r="A2393" s="2">
        <v>45757.625</v>
      </c>
      <c r="B2393">
        <f>4223.67822339617*(3/4)</f>
        <v>3167.7586675471275</v>
      </c>
    </row>
    <row r="2394" spans="1:2" x14ac:dyDescent="0.3">
      <c r="A2394" s="2">
        <v>45757.666666666657</v>
      </c>
      <c r="B2394">
        <f>3893.94740160155*(3/4)</f>
        <v>2920.460551201164</v>
      </c>
    </row>
    <row r="2395" spans="1:2" x14ac:dyDescent="0.3">
      <c r="A2395" s="2">
        <v>45757.708333333343</v>
      </c>
      <c r="B2395">
        <f>3853.81638487528*(3/4)</f>
        <v>2890.3622886564626</v>
      </c>
    </row>
    <row r="2396" spans="1:2" x14ac:dyDescent="0.3">
      <c r="A2396" s="2">
        <v>45757.75</v>
      </c>
      <c r="B2396">
        <f>4009.94079606262*(3/4)</f>
        <v>3007.4555970469642</v>
      </c>
    </row>
    <row r="2397" spans="1:2" x14ac:dyDescent="0.3">
      <c r="A2397" s="2">
        <v>45757.791666666657</v>
      </c>
      <c r="B2397">
        <f>3917.81396558261*(3/4)</f>
        <v>2938.3604741869567</v>
      </c>
    </row>
    <row r="2398" spans="1:2" x14ac:dyDescent="0.3">
      <c r="A2398" s="2">
        <v>45757.833333333343</v>
      </c>
      <c r="B2398">
        <f>3897.80755252546*(3/4)</f>
        <v>2923.3556643940974</v>
      </c>
    </row>
    <row r="2399" spans="1:2" x14ac:dyDescent="0.3">
      <c r="A2399" s="2">
        <v>45757.875</v>
      </c>
      <c r="B2399">
        <f>4090.38114105747*(3/4)</f>
        <v>3067.7858557931017</v>
      </c>
    </row>
    <row r="2400" spans="1:2" x14ac:dyDescent="0.3">
      <c r="A2400" s="2">
        <v>45757.916666666657</v>
      </c>
      <c r="B2400">
        <f>3883.25132642123*(3/4)</f>
        <v>2912.4384948159195</v>
      </c>
    </row>
    <row r="2401" spans="1:2" x14ac:dyDescent="0.3">
      <c r="A2401" s="2">
        <v>45757.958333333343</v>
      </c>
      <c r="B2401">
        <f>3708.24412517295*(3/4)</f>
        <v>2781.1830938797088</v>
      </c>
    </row>
    <row r="2402" spans="1:2" x14ac:dyDescent="0.3">
      <c r="A2402" s="2">
        <v>45758</v>
      </c>
      <c r="B2402">
        <f>3690.70652890268*(3/4)</f>
        <v>2768.029896677006</v>
      </c>
    </row>
    <row r="2403" spans="1:2" x14ac:dyDescent="0.3">
      <c r="A2403" s="2">
        <v>45758.041666666657</v>
      </c>
      <c r="B2403">
        <f>3709.1913272237*(3/4)</f>
        <v>2781.8934954177771</v>
      </c>
    </row>
    <row r="2404" spans="1:2" x14ac:dyDescent="0.3">
      <c r="A2404" s="2">
        <v>45758.083333333343</v>
      </c>
      <c r="B2404">
        <f>4040.56239290364*(3/4)</f>
        <v>3030.4217946777298</v>
      </c>
    </row>
    <row r="2405" spans="1:2" x14ac:dyDescent="0.3">
      <c r="A2405" s="2">
        <v>45758.125</v>
      </c>
      <c r="B2405">
        <f>3799.59181720018*(3/4)</f>
        <v>2849.693862900132</v>
      </c>
    </row>
    <row r="2406" spans="1:2" x14ac:dyDescent="0.3">
      <c r="A2406" s="2">
        <v>45758.166666666657</v>
      </c>
      <c r="B2406">
        <f>3944.26421473554*(3/4)</f>
        <v>2958.1981610516541</v>
      </c>
    </row>
    <row r="2407" spans="1:2" x14ac:dyDescent="0.3">
      <c r="A2407" s="2">
        <v>45758.208333333343</v>
      </c>
      <c r="B2407">
        <f>3701.13975316269*(3/4)</f>
        <v>2775.8548148720174</v>
      </c>
    </row>
    <row r="2408" spans="1:2" x14ac:dyDescent="0.3">
      <c r="A2408" s="2">
        <v>45758.25</v>
      </c>
      <c r="B2408">
        <f>4076.08083398203*(3/4)</f>
        <v>3057.0606254865206</v>
      </c>
    </row>
    <row r="2409" spans="1:2" x14ac:dyDescent="0.3">
      <c r="A2409" s="2">
        <v>45758.291666666657</v>
      </c>
      <c r="B2409">
        <f>4082.70397482041*(3/4)</f>
        <v>3062.0279811153059</v>
      </c>
    </row>
    <row r="2410" spans="1:2" x14ac:dyDescent="0.3">
      <c r="A2410" s="2">
        <v>45758.333333333343</v>
      </c>
      <c r="B2410">
        <f>4080.33724571508*(3/4)</f>
        <v>3060.2529342863118</v>
      </c>
    </row>
    <row r="2411" spans="1:2" x14ac:dyDescent="0.3">
      <c r="A2411" s="2">
        <v>45758.375</v>
      </c>
      <c r="B2411">
        <f>3847.14301003805*(3/4)</f>
        <v>2885.3572575285398</v>
      </c>
    </row>
    <row r="2412" spans="1:2" x14ac:dyDescent="0.3">
      <c r="A2412" s="2">
        <v>45758.416666666657</v>
      </c>
      <c r="B2412">
        <f>4076.42996153156*(3/4)</f>
        <v>3057.3224711486678</v>
      </c>
    </row>
    <row r="2413" spans="1:2" x14ac:dyDescent="0.3">
      <c r="A2413" s="2">
        <v>45758.458333333343</v>
      </c>
      <c r="B2413">
        <f>3796.12966221348*(3/4)</f>
        <v>2847.0972466601079</v>
      </c>
    </row>
    <row r="2414" spans="1:2" x14ac:dyDescent="0.3">
      <c r="A2414" s="2">
        <v>45758.5</v>
      </c>
      <c r="B2414">
        <f>3907.24880156137*(3/4)</f>
        <v>2930.4366011710304</v>
      </c>
    </row>
    <row r="2415" spans="1:2" x14ac:dyDescent="0.3">
      <c r="A2415" s="2">
        <v>45758.541666666657</v>
      </c>
      <c r="B2415">
        <f>3964.96995886761*(3/4)</f>
        <v>2973.7274691507105</v>
      </c>
    </row>
    <row r="2416" spans="1:2" x14ac:dyDescent="0.3">
      <c r="A2416" s="2">
        <v>45758.583333333343</v>
      </c>
      <c r="B2416">
        <f>3933.12943755517*(3/4)</f>
        <v>2949.8470781663736</v>
      </c>
    </row>
    <row r="2417" spans="1:2" x14ac:dyDescent="0.3">
      <c r="A2417" s="2">
        <v>45758.625</v>
      </c>
      <c r="B2417">
        <f>3982.05342057687*(3/4)</f>
        <v>2986.540065432655</v>
      </c>
    </row>
    <row r="2418" spans="1:2" x14ac:dyDescent="0.3">
      <c r="A2418" s="2">
        <v>45758.666666666657</v>
      </c>
      <c r="B2418">
        <f>4079.93727318232*(3/4)</f>
        <v>3059.9529548867363</v>
      </c>
    </row>
    <row r="2419" spans="1:2" x14ac:dyDescent="0.3">
      <c r="A2419" s="2">
        <v>45758.708333333343</v>
      </c>
      <c r="B2419">
        <f>4264.06464280361*(3/4)</f>
        <v>3198.0484821027076</v>
      </c>
    </row>
    <row r="2420" spans="1:2" x14ac:dyDescent="0.3">
      <c r="A2420" s="2">
        <v>45758.75</v>
      </c>
      <c r="B2420">
        <f>3850.91417649377*(3/4)</f>
        <v>2888.1856323703282</v>
      </c>
    </row>
    <row r="2421" spans="1:2" x14ac:dyDescent="0.3">
      <c r="A2421" s="2">
        <v>45758.791666666657</v>
      </c>
      <c r="B2421">
        <f>3912.6661069976*(3/4)</f>
        <v>2934.4995802481972</v>
      </c>
    </row>
    <row r="2422" spans="1:2" x14ac:dyDescent="0.3">
      <c r="A2422" s="2">
        <v>45758.833333333343</v>
      </c>
      <c r="B2422">
        <f>4119.57579877405*(3/4)</f>
        <v>3089.6818490805408</v>
      </c>
    </row>
    <row r="2423" spans="1:2" x14ac:dyDescent="0.3">
      <c r="A2423" s="2">
        <v>45758.875</v>
      </c>
      <c r="B2423">
        <f>3837.60917514495*(3/4)</f>
        <v>2878.2068813587098</v>
      </c>
    </row>
    <row r="2424" spans="1:2" x14ac:dyDescent="0.3">
      <c r="A2424" s="2">
        <v>45758.916666666657</v>
      </c>
      <c r="B2424">
        <f>3671.58790635125*(3/4)</f>
        <v>2753.6909297634347</v>
      </c>
    </row>
    <row r="2425" spans="1:2" x14ac:dyDescent="0.3">
      <c r="A2425" s="2">
        <v>45758.958333333343</v>
      </c>
      <c r="B2425">
        <f>4179.04154702292*(3/4)</f>
        <v>3134.2811602671886</v>
      </c>
    </row>
    <row r="2426" spans="1:2" x14ac:dyDescent="0.3">
      <c r="A2426" s="2">
        <v>45759</v>
      </c>
      <c r="B2426">
        <f>4013.2926503142*(3/4)</f>
        <v>3009.9694877356492</v>
      </c>
    </row>
    <row r="2427" spans="1:2" x14ac:dyDescent="0.3">
      <c r="A2427" s="2">
        <v>45759.041666666657</v>
      </c>
      <c r="B2427">
        <f>4094.66923736153*(3/4)</f>
        <v>3071.0019280211468</v>
      </c>
    </row>
    <row r="2428" spans="1:2" x14ac:dyDescent="0.3">
      <c r="A2428" s="2">
        <v>45759.083333333343</v>
      </c>
      <c r="B2428">
        <f>3797.73316311669*(3/4)</f>
        <v>2848.2998723375181</v>
      </c>
    </row>
    <row r="2429" spans="1:2" x14ac:dyDescent="0.3">
      <c r="A2429" s="2">
        <v>45759.125</v>
      </c>
      <c r="B2429">
        <f>4073.83251472851*(3/4)</f>
        <v>3055.3743860463856</v>
      </c>
    </row>
    <row r="2430" spans="1:2" x14ac:dyDescent="0.3">
      <c r="A2430" s="2">
        <v>45759.166666666657</v>
      </c>
      <c r="B2430">
        <f>3766.85941249543*(3/4)</f>
        <v>2825.1445593715725</v>
      </c>
    </row>
    <row r="2431" spans="1:2" x14ac:dyDescent="0.3">
      <c r="A2431" s="2">
        <v>45759.208333333343</v>
      </c>
      <c r="B2431">
        <f>3731.31741766562*(3/4)</f>
        <v>2798.4880632492172</v>
      </c>
    </row>
    <row r="2432" spans="1:2" x14ac:dyDescent="0.3">
      <c r="A2432" s="2">
        <v>45759.25</v>
      </c>
      <c r="B2432">
        <f>3691.84893644616*(3/4)</f>
        <v>2768.8867023346165</v>
      </c>
    </row>
    <row r="2433" spans="1:2" x14ac:dyDescent="0.3">
      <c r="A2433" s="2">
        <v>45759.291666666657</v>
      </c>
      <c r="B2433">
        <f>4197.83683395142*(3/4)</f>
        <v>3148.3776254635613</v>
      </c>
    </row>
    <row r="2434" spans="1:2" x14ac:dyDescent="0.3">
      <c r="A2434" s="2">
        <v>45759.333333333343</v>
      </c>
      <c r="B2434">
        <f>4069.43210252361*(3/4)</f>
        <v>3052.0740768927112</v>
      </c>
    </row>
    <row r="2435" spans="1:2" x14ac:dyDescent="0.3">
      <c r="A2435" s="2">
        <v>45759.375</v>
      </c>
      <c r="B2435">
        <f>4285.08845433322*(3/4)</f>
        <v>3213.8163407499142</v>
      </c>
    </row>
    <row r="2436" spans="1:2" x14ac:dyDescent="0.3">
      <c r="A2436" s="2">
        <v>45759.416666666657</v>
      </c>
      <c r="B2436">
        <f>4100.26008853833*(3/4)</f>
        <v>3075.1950664037495</v>
      </c>
    </row>
    <row r="2437" spans="1:2" x14ac:dyDescent="0.3">
      <c r="A2437" s="2">
        <v>45759.458333333343</v>
      </c>
      <c r="B2437">
        <f>4082.07429475328*(3/4)</f>
        <v>3061.5557210649631</v>
      </c>
    </row>
    <row r="2438" spans="1:2" x14ac:dyDescent="0.3">
      <c r="A2438" s="2">
        <v>45759.5</v>
      </c>
      <c r="B2438">
        <f>3789.43701949186*(3/4)</f>
        <v>2842.0777646188972</v>
      </c>
    </row>
    <row r="2439" spans="1:2" x14ac:dyDescent="0.3">
      <c r="A2439" s="2">
        <v>45759.541666666657</v>
      </c>
      <c r="B2439">
        <f>3998.87863003718*(3/4)</f>
        <v>2999.1589725278873</v>
      </c>
    </row>
    <row r="2440" spans="1:2" x14ac:dyDescent="0.3">
      <c r="A2440" s="2">
        <v>45759.583333333343</v>
      </c>
      <c r="B2440">
        <f>4019.18676748749*(3/4)</f>
        <v>3014.3900756156154</v>
      </c>
    </row>
    <row r="2441" spans="1:2" x14ac:dyDescent="0.3">
      <c r="A2441" s="2">
        <v>45759.625</v>
      </c>
      <c r="B2441">
        <f>4190.17170525965*(3/4)</f>
        <v>3142.6287789447397</v>
      </c>
    </row>
    <row r="2442" spans="1:2" x14ac:dyDescent="0.3">
      <c r="A2442" s="2">
        <v>45759.666666666657</v>
      </c>
      <c r="B2442">
        <f>3770.61484241236*(3/4)</f>
        <v>2827.961131809267</v>
      </c>
    </row>
    <row r="2443" spans="1:2" x14ac:dyDescent="0.3">
      <c r="A2443" s="2">
        <v>45759.708333333343</v>
      </c>
      <c r="B2443">
        <f>3970.28599364742*(3/4)</f>
        <v>2977.7144952355629</v>
      </c>
    </row>
    <row r="2444" spans="1:2" x14ac:dyDescent="0.3">
      <c r="A2444" s="2">
        <v>45759.75</v>
      </c>
      <c r="B2444">
        <f>3902.53780540623*(3/4)</f>
        <v>2926.9033540546725</v>
      </c>
    </row>
    <row r="2445" spans="1:2" x14ac:dyDescent="0.3">
      <c r="A2445" s="2">
        <v>45759.791666666657</v>
      </c>
      <c r="B2445">
        <f>3921.43610258372*(3/4)</f>
        <v>2941.0770769377864</v>
      </c>
    </row>
    <row r="2446" spans="1:2" x14ac:dyDescent="0.3">
      <c r="A2446" s="2">
        <v>45759.833333333343</v>
      </c>
      <c r="B2446">
        <f>4194.9921542147*(3/4)</f>
        <v>3146.244115661023</v>
      </c>
    </row>
    <row r="2447" spans="1:2" x14ac:dyDescent="0.3">
      <c r="A2447" s="2">
        <v>45759.875</v>
      </c>
      <c r="B2447">
        <f>3926.72000831172*(3/4)</f>
        <v>2945.0400062337922</v>
      </c>
    </row>
    <row r="2448" spans="1:2" x14ac:dyDescent="0.3">
      <c r="A2448" s="2">
        <v>45759.916666666657</v>
      </c>
      <c r="B2448">
        <f>3892.15718567118*(3/4)</f>
        <v>2919.1178892533871</v>
      </c>
    </row>
    <row r="2449" spans="1:2" x14ac:dyDescent="0.3">
      <c r="A2449" s="2">
        <v>45759.958333333343</v>
      </c>
      <c r="B2449">
        <f>3678.07621424933*(3/4)</f>
        <v>2758.5571606869967</v>
      </c>
    </row>
    <row r="2450" spans="1:2" x14ac:dyDescent="0.3">
      <c r="A2450" s="2">
        <v>45760</v>
      </c>
      <c r="B2450">
        <f>3708.25624497606*(3/4)</f>
        <v>2781.1921837320465</v>
      </c>
    </row>
    <row r="2451" spans="1:2" x14ac:dyDescent="0.3">
      <c r="A2451" s="2">
        <v>45760.041666666657</v>
      </c>
      <c r="B2451">
        <f>4027.74545289266*(3/4)</f>
        <v>3020.809089669498</v>
      </c>
    </row>
    <row r="2452" spans="1:2" x14ac:dyDescent="0.3">
      <c r="A2452" s="2">
        <v>45760.083333333343</v>
      </c>
      <c r="B2452">
        <f>4046.81304039714*(3/4)</f>
        <v>3035.1097802978588</v>
      </c>
    </row>
    <row r="2453" spans="1:2" x14ac:dyDescent="0.3">
      <c r="A2453" s="2">
        <v>45760.125</v>
      </c>
      <c r="B2453">
        <f>3988.22698480745*(3/4)</f>
        <v>2991.1702386055895</v>
      </c>
    </row>
    <row r="2454" spans="1:2" x14ac:dyDescent="0.3">
      <c r="A2454" s="2">
        <v>45760.166666666657</v>
      </c>
      <c r="B2454">
        <f>4302.88052185976*(3/4)</f>
        <v>3227.1603913948193</v>
      </c>
    </row>
    <row r="2455" spans="1:2" x14ac:dyDescent="0.3">
      <c r="A2455" s="2">
        <v>45760.208333333343</v>
      </c>
      <c r="B2455">
        <f>3919.74167398266*(3/4)</f>
        <v>2939.8062554869957</v>
      </c>
    </row>
    <row r="2456" spans="1:2" x14ac:dyDescent="0.3">
      <c r="A2456" s="2">
        <v>45760.25</v>
      </c>
      <c r="B2456">
        <f>3695.71357072489*(3/4)</f>
        <v>2771.7851780436704</v>
      </c>
    </row>
    <row r="2457" spans="1:2" x14ac:dyDescent="0.3">
      <c r="A2457" s="2">
        <v>45760.291666666657</v>
      </c>
      <c r="B2457">
        <f>3975.72866400174*(3/4)</f>
        <v>2981.7964980013012</v>
      </c>
    </row>
    <row r="2458" spans="1:2" x14ac:dyDescent="0.3">
      <c r="A2458" s="2">
        <v>45760.333333333343</v>
      </c>
      <c r="B2458">
        <f>3650.45241649049*(3/4)</f>
        <v>2737.8393123678684</v>
      </c>
    </row>
    <row r="2459" spans="1:2" x14ac:dyDescent="0.3">
      <c r="A2459" s="2">
        <v>45760.375</v>
      </c>
      <c r="B2459">
        <f>3192.15733548224*(3/4)</f>
        <v>2394.1180016116823</v>
      </c>
    </row>
    <row r="2460" spans="1:2" x14ac:dyDescent="0.3">
      <c r="A2460" s="2">
        <v>45760.416666666657</v>
      </c>
      <c r="B2460">
        <f>3196.33844599803*(3/4)</f>
        <v>2397.253834498526</v>
      </c>
    </row>
    <row r="2461" spans="1:2" x14ac:dyDescent="0.3">
      <c r="A2461" s="2">
        <v>45760.458333333343</v>
      </c>
      <c r="B2461">
        <f>3126.31694309548*(3/4)</f>
        <v>2344.737707321613</v>
      </c>
    </row>
    <row r="2462" spans="1:2" x14ac:dyDescent="0.3">
      <c r="A2462" s="2">
        <v>45760.5</v>
      </c>
      <c r="B2462">
        <f>3303.13768845163*(3/4)</f>
        <v>2477.3532663387223</v>
      </c>
    </row>
    <row r="2463" spans="1:2" x14ac:dyDescent="0.3">
      <c r="A2463" s="2">
        <v>45760.541666666657</v>
      </c>
      <c r="B2463">
        <f>3290.67547957211*(3/4)</f>
        <v>2468.0066096790856</v>
      </c>
    </row>
    <row r="2464" spans="1:2" x14ac:dyDescent="0.3">
      <c r="A2464" s="2">
        <v>45760.583333333343</v>
      </c>
      <c r="B2464">
        <f>3008.12648699869*(3/4)</f>
        <v>2256.0948652490197</v>
      </c>
    </row>
    <row r="2465" spans="1:2" x14ac:dyDescent="0.3">
      <c r="A2465" s="2">
        <v>45760.625</v>
      </c>
      <c r="B2465">
        <f>3322.10557052139*(3/4)</f>
        <v>2491.5791778910398</v>
      </c>
    </row>
    <row r="2466" spans="1:2" x14ac:dyDescent="0.3">
      <c r="A2466" s="2">
        <v>45760.666666666657</v>
      </c>
      <c r="B2466">
        <f>3281.72166161719*(3/4)</f>
        <v>2461.2912462128934</v>
      </c>
    </row>
    <row r="2467" spans="1:2" x14ac:dyDescent="0.3">
      <c r="A2467" s="2">
        <v>45760.708333333343</v>
      </c>
      <c r="B2467">
        <f>4129.83121917683*(3/4)</f>
        <v>3097.3734143826246</v>
      </c>
    </row>
    <row r="2468" spans="1:2" x14ac:dyDescent="0.3">
      <c r="A2468" s="2">
        <v>45760.75</v>
      </c>
      <c r="B2468">
        <f>3919.37981692486*(3/4)</f>
        <v>2939.5348626936443</v>
      </c>
    </row>
    <row r="2469" spans="1:2" x14ac:dyDescent="0.3">
      <c r="A2469" s="2">
        <v>45760.791666666657</v>
      </c>
      <c r="B2469">
        <f>4106.50511343447*(3/4)</f>
        <v>3079.8788350758541</v>
      </c>
    </row>
    <row r="2470" spans="1:2" x14ac:dyDescent="0.3">
      <c r="A2470" s="2">
        <v>45760.833333333343</v>
      </c>
      <c r="B2470">
        <f>4236.1629727376*(3/4)</f>
        <v>3177.1222295531979</v>
      </c>
    </row>
    <row r="2471" spans="1:2" x14ac:dyDescent="0.3">
      <c r="A2471" s="2">
        <v>45760.875</v>
      </c>
      <c r="B2471">
        <f>3851.31518503742*(3/4)</f>
        <v>2888.486388778068</v>
      </c>
    </row>
    <row r="2472" spans="1:2" x14ac:dyDescent="0.3">
      <c r="A2472" s="2">
        <v>45760.916666666657</v>
      </c>
      <c r="B2472">
        <f>3571.43934597934*(3/4)</f>
        <v>2678.5795094845012</v>
      </c>
    </row>
    <row r="2473" spans="1:2" x14ac:dyDescent="0.3">
      <c r="A2473" s="2">
        <v>45760.958333333343</v>
      </c>
      <c r="B2473">
        <f>4118.0433778062*(3/4)</f>
        <v>3088.5325333546516</v>
      </c>
    </row>
    <row r="2474" spans="1:2" x14ac:dyDescent="0.3">
      <c r="A2474" s="2">
        <v>45761</v>
      </c>
      <c r="B2474">
        <f>3969.4217339133*(3/4)</f>
        <v>2977.0663004349713</v>
      </c>
    </row>
    <row r="2475" spans="1:2" x14ac:dyDescent="0.3">
      <c r="A2475" s="2">
        <v>45761.041666666657</v>
      </c>
      <c r="B2475">
        <f>3751.32278781718*(3/4)</f>
        <v>2813.4920908628851</v>
      </c>
    </row>
    <row r="2476" spans="1:2" x14ac:dyDescent="0.3">
      <c r="A2476" s="2">
        <v>45761.083333333343</v>
      </c>
      <c r="B2476">
        <f>3785.3929952323*(3/4)</f>
        <v>2839.0447464242252</v>
      </c>
    </row>
    <row r="2477" spans="1:2" x14ac:dyDescent="0.3">
      <c r="A2477" s="2">
        <v>45761.125</v>
      </c>
      <c r="B2477">
        <f>3943.06515697846*(3/4)</f>
        <v>2957.2988677338449</v>
      </c>
    </row>
    <row r="2478" spans="1:2" x14ac:dyDescent="0.3">
      <c r="A2478" s="2">
        <v>45761.166666666657</v>
      </c>
      <c r="B2478">
        <f>4033.2467910631*(3/4)</f>
        <v>3024.9350932973284</v>
      </c>
    </row>
    <row r="2479" spans="1:2" x14ac:dyDescent="0.3">
      <c r="A2479" s="2">
        <v>45761.208333333343</v>
      </c>
      <c r="B2479">
        <f>3728.96616300779*(3/4)</f>
        <v>2796.724622255846</v>
      </c>
    </row>
    <row r="2480" spans="1:2" x14ac:dyDescent="0.3">
      <c r="A2480" s="2">
        <v>45761.25</v>
      </c>
      <c r="B2480">
        <f>3697.46809516258*(3/4)</f>
        <v>2773.1010713719379</v>
      </c>
    </row>
    <row r="2481" spans="1:2" x14ac:dyDescent="0.3">
      <c r="A2481" s="2">
        <v>45761.291666666657</v>
      </c>
      <c r="B2481">
        <f>4032.58107137479*(3/4)</f>
        <v>3024.4358035310934</v>
      </c>
    </row>
    <row r="2482" spans="1:2" x14ac:dyDescent="0.3">
      <c r="A2482" s="2">
        <v>45761.333333333343</v>
      </c>
      <c r="B2482">
        <f>4183.03188474803*(3/4)</f>
        <v>3137.2739135610209</v>
      </c>
    </row>
    <row r="2483" spans="1:2" x14ac:dyDescent="0.3">
      <c r="A2483" s="2">
        <v>45761.375</v>
      </c>
      <c r="B2483">
        <f>3765.66206648391*(3/4)</f>
        <v>2824.246549862934</v>
      </c>
    </row>
    <row r="2484" spans="1:2" x14ac:dyDescent="0.3">
      <c r="A2484" s="2">
        <v>45761.416666666657</v>
      </c>
      <c r="B2484">
        <f>4066.54828181509*(3/4)</f>
        <v>3049.9112113613146</v>
      </c>
    </row>
    <row r="2485" spans="1:2" x14ac:dyDescent="0.3">
      <c r="A2485" s="2">
        <v>45761.458333333343</v>
      </c>
      <c r="B2485">
        <f>4086.3649530431*(3/4)</f>
        <v>3064.7737147823264</v>
      </c>
    </row>
    <row r="2486" spans="1:2" x14ac:dyDescent="0.3">
      <c r="A2486" s="2">
        <v>45761.5</v>
      </c>
      <c r="B2486">
        <f>3942.34208983471*(3/4)</f>
        <v>2956.7565673760319</v>
      </c>
    </row>
    <row r="2487" spans="1:2" x14ac:dyDescent="0.3">
      <c r="A2487" s="2">
        <v>45761.541666666657</v>
      </c>
      <c r="B2487">
        <f>4142.64066543384*(3/4)</f>
        <v>3106.9804990753792</v>
      </c>
    </row>
    <row r="2488" spans="1:2" x14ac:dyDescent="0.3">
      <c r="A2488" s="2">
        <v>45761.583333333343</v>
      </c>
      <c r="B2488">
        <f>3905.04366740442*(3/4)</f>
        <v>2928.7827505533155</v>
      </c>
    </row>
    <row r="2489" spans="1:2" x14ac:dyDescent="0.3">
      <c r="A2489" s="2">
        <v>45761.625</v>
      </c>
      <c r="B2489">
        <f>4213.8246120482*(3/4)</f>
        <v>3160.368459036149</v>
      </c>
    </row>
    <row r="2490" spans="1:2" x14ac:dyDescent="0.3">
      <c r="A2490" s="2">
        <v>45761.666666666657</v>
      </c>
      <c r="B2490">
        <f>4322.87861376676*(3/4)</f>
        <v>3242.1589603250736</v>
      </c>
    </row>
    <row r="2491" spans="1:2" x14ac:dyDescent="0.3">
      <c r="A2491" s="2">
        <v>45761.708333333343</v>
      </c>
      <c r="B2491">
        <f>3884.5280877862*(3/4)</f>
        <v>2913.3960658396472</v>
      </c>
    </row>
    <row r="2492" spans="1:2" x14ac:dyDescent="0.3">
      <c r="A2492" s="2">
        <v>45761.75</v>
      </c>
      <c r="B2492">
        <f>4243.14967480402*(3/4)</f>
        <v>3182.3622561030134</v>
      </c>
    </row>
    <row r="2493" spans="1:2" x14ac:dyDescent="0.3">
      <c r="A2493" s="2">
        <v>45761.791666666657</v>
      </c>
      <c r="B2493">
        <f>3749.32954291632*(3/4)</f>
        <v>2811.9971571872393</v>
      </c>
    </row>
    <row r="2494" spans="1:2" x14ac:dyDescent="0.3">
      <c r="A2494" s="2">
        <v>45761.833333333343</v>
      </c>
      <c r="B2494">
        <f>4048.68683908162*(3/4)</f>
        <v>3036.5151293112158</v>
      </c>
    </row>
    <row r="2495" spans="1:2" x14ac:dyDescent="0.3">
      <c r="A2495" s="2">
        <v>45761.875</v>
      </c>
      <c r="B2495">
        <f>3808.60062913542*(3/4)</f>
        <v>2856.4504718515636</v>
      </c>
    </row>
    <row r="2496" spans="1:2" x14ac:dyDescent="0.3">
      <c r="A2496" s="2">
        <v>45761.916666666657</v>
      </c>
      <c r="B2496">
        <f>3876.69338750683*(3/4)</f>
        <v>2907.5200406301233</v>
      </c>
    </row>
    <row r="2497" spans="1:2" x14ac:dyDescent="0.3">
      <c r="A2497" s="2">
        <v>45761.958333333343</v>
      </c>
      <c r="B2497">
        <f>3866.55935519661*(3/4)</f>
        <v>2899.9195163974573</v>
      </c>
    </row>
    <row r="2498" spans="1:2" x14ac:dyDescent="0.3">
      <c r="A2498" s="2">
        <v>45762</v>
      </c>
      <c r="B2498">
        <f>3903.59129852603*(3/4)</f>
        <v>2927.6934738945247</v>
      </c>
    </row>
    <row r="2499" spans="1:2" x14ac:dyDescent="0.3">
      <c r="A2499" s="2">
        <v>45762.041666666657</v>
      </c>
      <c r="B2499">
        <f>3845.9791248683*(3/4)</f>
        <v>2884.484343651221</v>
      </c>
    </row>
    <row r="2500" spans="1:2" x14ac:dyDescent="0.3">
      <c r="A2500" s="2">
        <v>45762.083333333343</v>
      </c>
      <c r="B2500">
        <f>3923.04482638959*(3/4)</f>
        <v>2942.2836197921947</v>
      </c>
    </row>
    <row r="2501" spans="1:2" x14ac:dyDescent="0.3">
      <c r="A2501" s="2">
        <v>45762.125</v>
      </c>
      <c r="B2501">
        <f>4039.68046528533*(3/4)</f>
        <v>3029.7603489639991</v>
      </c>
    </row>
    <row r="2502" spans="1:2" x14ac:dyDescent="0.3">
      <c r="A2502" s="2">
        <v>45762.166666666657</v>
      </c>
      <c r="B2502">
        <f>4154.94149549781*(3/4)</f>
        <v>3116.2061216233606</v>
      </c>
    </row>
    <row r="2503" spans="1:2" x14ac:dyDescent="0.3">
      <c r="A2503" s="2">
        <v>45762.208333333343</v>
      </c>
      <c r="B2503">
        <f>3921.7786467992*(3/4)</f>
        <v>2941.333985099403</v>
      </c>
    </row>
    <row r="2504" spans="1:2" x14ac:dyDescent="0.3">
      <c r="A2504" s="2">
        <v>45762.25</v>
      </c>
      <c r="B2504">
        <f>3793.48469418033*(3/4)</f>
        <v>2845.1135206352506</v>
      </c>
    </row>
    <row r="2505" spans="1:2" x14ac:dyDescent="0.3">
      <c r="A2505" s="2">
        <v>45762.291666666657</v>
      </c>
      <c r="B2505">
        <f>4222.09925298219*(3/4)</f>
        <v>3166.5744397366398</v>
      </c>
    </row>
    <row r="2506" spans="1:2" x14ac:dyDescent="0.3">
      <c r="A2506" s="2">
        <v>45762.333333333343</v>
      </c>
      <c r="B2506">
        <f>3893.24426184419*(3/4)</f>
        <v>2919.9331963831428</v>
      </c>
    </row>
    <row r="2507" spans="1:2" x14ac:dyDescent="0.3">
      <c r="A2507" s="2">
        <v>45762.375</v>
      </c>
      <c r="B2507">
        <f>4057.74560999677*(3/4)</f>
        <v>3043.309207497578</v>
      </c>
    </row>
    <row r="2508" spans="1:2" x14ac:dyDescent="0.3">
      <c r="A2508" s="2">
        <v>45762.416666666657</v>
      </c>
      <c r="B2508">
        <f>3875.62500879877*(3/4)</f>
        <v>2906.7187565990753</v>
      </c>
    </row>
    <row r="2509" spans="1:2" x14ac:dyDescent="0.3">
      <c r="A2509" s="2">
        <v>45762.458333333343</v>
      </c>
      <c r="B2509">
        <f>3978.02435547962*(3/4)</f>
        <v>2983.5182666097153</v>
      </c>
    </row>
    <row r="2510" spans="1:2" x14ac:dyDescent="0.3">
      <c r="A2510" s="2">
        <v>45762.5</v>
      </c>
      <c r="B2510">
        <f>4057.67125712833*(3/4)</f>
        <v>3043.2534428462477</v>
      </c>
    </row>
    <row r="2511" spans="1:2" x14ac:dyDescent="0.3">
      <c r="A2511" s="2">
        <v>45762.541666666657</v>
      </c>
      <c r="B2511">
        <f>4033.60006534221*(3/4)</f>
        <v>3025.2000490066553</v>
      </c>
    </row>
    <row r="2512" spans="1:2" x14ac:dyDescent="0.3">
      <c r="A2512" s="2">
        <v>45762.583333333343</v>
      </c>
      <c r="B2512">
        <f>3954.53524842336*(3/4)</f>
        <v>2965.9014363175206</v>
      </c>
    </row>
    <row r="2513" spans="1:2" x14ac:dyDescent="0.3">
      <c r="A2513" s="2">
        <v>45762.625</v>
      </c>
      <c r="B2513">
        <f>3926.34624196955*(3/4)</f>
        <v>2944.7596814771646</v>
      </c>
    </row>
    <row r="2514" spans="1:2" x14ac:dyDescent="0.3">
      <c r="A2514" s="2">
        <v>45762.666666666657</v>
      </c>
      <c r="B2514">
        <f>3961.39158957729*(3/4)</f>
        <v>2971.0436921829646</v>
      </c>
    </row>
    <row r="2515" spans="1:2" x14ac:dyDescent="0.3">
      <c r="A2515" s="2">
        <v>45762.708333333343</v>
      </c>
      <c r="B2515">
        <f>3930.2270615317*(3/4)</f>
        <v>2947.6702961487726</v>
      </c>
    </row>
    <row r="2516" spans="1:2" x14ac:dyDescent="0.3">
      <c r="A2516" s="2">
        <v>45762.75</v>
      </c>
      <c r="B2516">
        <f>4110.63879636024*(3/4)</f>
        <v>3082.9790972701808</v>
      </c>
    </row>
    <row r="2517" spans="1:2" x14ac:dyDescent="0.3">
      <c r="A2517" s="2">
        <v>45762.791666666657</v>
      </c>
      <c r="B2517">
        <f>3936.08429457442*(3/4)</f>
        <v>2952.0632209308187</v>
      </c>
    </row>
    <row r="2518" spans="1:2" x14ac:dyDescent="0.3">
      <c r="A2518" s="2">
        <v>45762.833333333343</v>
      </c>
      <c r="B2518">
        <f>4381.25162445671*(3/4)</f>
        <v>3285.9387183425342</v>
      </c>
    </row>
    <row r="2519" spans="1:2" x14ac:dyDescent="0.3">
      <c r="A2519" s="2">
        <v>45762.875</v>
      </c>
      <c r="B2519">
        <f>3956.61738374649*(3/4)</f>
        <v>2967.4630378098673</v>
      </c>
    </row>
    <row r="2520" spans="1:2" x14ac:dyDescent="0.3">
      <c r="A2520" s="2">
        <v>45762.916666666657</v>
      </c>
      <c r="B2520">
        <f>3050.29352825064*(3/4)</f>
        <v>2287.7201461879768</v>
      </c>
    </row>
    <row r="2521" spans="1:2" x14ac:dyDescent="0.3">
      <c r="A2521" s="2">
        <v>45762.958333333343</v>
      </c>
      <c r="B2521">
        <f>3729.17936136851*(3/4)</f>
        <v>2796.884521026383</v>
      </c>
    </row>
    <row r="2522" spans="1:2" x14ac:dyDescent="0.3">
      <c r="A2522" s="2">
        <v>45763</v>
      </c>
      <c r="B2522">
        <f>4079.04820634009*(3/4)</f>
        <v>3059.286154755066</v>
      </c>
    </row>
    <row r="2523" spans="1:2" x14ac:dyDescent="0.3">
      <c r="A2523" s="2">
        <v>45763.041666666657</v>
      </c>
      <c r="B2523">
        <f>3950.66632258298*(3/4)</f>
        <v>2962.9997419372312</v>
      </c>
    </row>
    <row r="2524" spans="1:2" x14ac:dyDescent="0.3">
      <c r="A2524" s="2">
        <v>45763.083333333343</v>
      </c>
      <c r="B2524">
        <f>4142.39164953492*(3/4)</f>
        <v>3106.7937371511875</v>
      </c>
    </row>
    <row r="2525" spans="1:2" x14ac:dyDescent="0.3">
      <c r="A2525" s="2">
        <v>45763.125</v>
      </c>
      <c r="B2525">
        <f>3837.97236302372*(3/4)</f>
        <v>2878.4792722677939</v>
      </c>
    </row>
    <row r="2526" spans="1:2" x14ac:dyDescent="0.3">
      <c r="A2526" s="2">
        <v>45763.166666666657</v>
      </c>
      <c r="B2526">
        <f>4049.27581988792*(3/4)</f>
        <v>3036.9568649159364</v>
      </c>
    </row>
    <row r="2527" spans="1:2" x14ac:dyDescent="0.3">
      <c r="A2527" s="2">
        <v>45763.208333333343</v>
      </c>
      <c r="B2527">
        <f>3848.63638516953*(3/4)</f>
        <v>2886.4772888771495</v>
      </c>
    </row>
    <row r="2528" spans="1:2" x14ac:dyDescent="0.3">
      <c r="A2528" s="2">
        <v>45763.25</v>
      </c>
      <c r="B2528">
        <f>3821.96809942999*(3/4)</f>
        <v>2866.4760745724939</v>
      </c>
    </row>
    <row r="2529" spans="1:2" x14ac:dyDescent="0.3">
      <c r="A2529" s="2">
        <v>45763.291666666657</v>
      </c>
      <c r="B2529">
        <f>3851.26509876574*(3/4)</f>
        <v>2888.4488240743067</v>
      </c>
    </row>
    <row r="2530" spans="1:2" x14ac:dyDescent="0.3">
      <c r="A2530" s="2">
        <v>45763.333333333343</v>
      </c>
      <c r="B2530">
        <f>4043.23271411747*(3/4)</f>
        <v>3032.4245355881058</v>
      </c>
    </row>
    <row r="2531" spans="1:2" x14ac:dyDescent="0.3">
      <c r="A2531" s="2">
        <v>45763.375</v>
      </c>
      <c r="B2531">
        <f>4028.10723586797*(3/4)</f>
        <v>3021.0804269009773</v>
      </c>
    </row>
    <row r="2532" spans="1:2" x14ac:dyDescent="0.3">
      <c r="A2532" s="2">
        <v>45763.416666666657</v>
      </c>
      <c r="B2532">
        <f>3803.88196635281*(3/4)</f>
        <v>2852.9114747646054</v>
      </c>
    </row>
    <row r="2533" spans="1:2" x14ac:dyDescent="0.3">
      <c r="A2533" s="2">
        <v>45763.458333333343</v>
      </c>
      <c r="B2533">
        <f>4217.81874088062*(3/4)</f>
        <v>3163.3640556604651</v>
      </c>
    </row>
    <row r="2534" spans="1:2" x14ac:dyDescent="0.3">
      <c r="A2534" s="2">
        <v>45763.5</v>
      </c>
      <c r="B2534">
        <f>4329.65454858988*(3/4)</f>
        <v>3247.2409114424081</v>
      </c>
    </row>
    <row r="2535" spans="1:2" x14ac:dyDescent="0.3">
      <c r="A2535" s="2">
        <v>45763.541666666657</v>
      </c>
      <c r="B2535">
        <f>4163.17572198528*(3/4)</f>
        <v>3122.3817914889587</v>
      </c>
    </row>
    <row r="2536" spans="1:2" x14ac:dyDescent="0.3">
      <c r="A2536" s="2">
        <v>45763.583333333343</v>
      </c>
      <c r="B2536">
        <f>3773.49100487263*(3/4)</f>
        <v>2830.1182536544688</v>
      </c>
    </row>
    <row r="2537" spans="1:2" x14ac:dyDescent="0.3">
      <c r="A2537" s="2">
        <v>45763.625</v>
      </c>
      <c r="B2537">
        <f>3948.72750303913*(3/4)</f>
        <v>2961.5456272793467</v>
      </c>
    </row>
    <row r="2538" spans="1:2" x14ac:dyDescent="0.3">
      <c r="A2538" s="2">
        <v>45763.666666666657</v>
      </c>
      <c r="B2538">
        <f>3844.86590630648*(3/4)</f>
        <v>2883.6494297298564</v>
      </c>
    </row>
    <row r="2539" spans="1:2" x14ac:dyDescent="0.3">
      <c r="A2539" s="2">
        <v>45763.708333333343</v>
      </c>
      <c r="B2539">
        <f>3851.32330439479*(3/4)</f>
        <v>2888.4924782960902</v>
      </c>
    </row>
    <row r="2540" spans="1:2" x14ac:dyDescent="0.3">
      <c r="A2540" s="2">
        <v>45763.75</v>
      </c>
      <c r="B2540">
        <f>3954.41173185927*(3/4)</f>
        <v>2965.8087988944535</v>
      </c>
    </row>
    <row r="2541" spans="1:2" x14ac:dyDescent="0.3">
      <c r="A2541" s="2">
        <v>45763.791666666657</v>
      </c>
      <c r="B2541">
        <f>4210.06146685373*(3/4)</f>
        <v>3157.5461001402991</v>
      </c>
    </row>
    <row r="2542" spans="1:2" x14ac:dyDescent="0.3">
      <c r="A2542" s="2">
        <v>45763.833333333343</v>
      </c>
      <c r="B2542">
        <f>3894.54012450389*(3/4)</f>
        <v>2920.9050933779176</v>
      </c>
    </row>
    <row r="2543" spans="1:2" x14ac:dyDescent="0.3">
      <c r="A2543" s="2">
        <v>45763.875</v>
      </c>
      <c r="B2543">
        <f>3898.44692330289*(3/4)</f>
        <v>2923.8351924771641</v>
      </c>
    </row>
    <row r="2544" spans="1:2" x14ac:dyDescent="0.3">
      <c r="A2544" s="2">
        <v>45763.916666666657</v>
      </c>
      <c r="B2544">
        <f>3717.90136600951*(3/4)</f>
        <v>2788.4260245071355</v>
      </c>
    </row>
    <row r="2545" spans="1:2" x14ac:dyDescent="0.3">
      <c r="A2545" s="2">
        <v>45763.958333333343</v>
      </c>
      <c r="B2545">
        <f>3878.34037679681*(3/4)</f>
        <v>2908.7552825976099</v>
      </c>
    </row>
    <row r="2546" spans="1:2" x14ac:dyDescent="0.3">
      <c r="A2546" s="2">
        <v>45764</v>
      </c>
      <c r="B2546">
        <f>3680.26680790087*(3/4)</f>
        <v>2760.2001059256554</v>
      </c>
    </row>
    <row r="2547" spans="1:2" x14ac:dyDescent="0.3">
      <c r="A2547" s="2">
        <v>45764.041666666657</v>
      </c>
      <c r="B2547">
        <f>3815.85860702666*(3/4)</f>
        <v>2861.8939552699972</v>
      </c>
    </row>
    <row r="2548" spans="1:2" x14ac:dyDescent="0.3">
      <c r="A2548" s="2">
        <v>45764.083333333343</v>
      </c>
      <c r="B2548">
        <f>4069.53023639213*(3/4)</f>
        <v>3052.1476772940946</v>
      </c>
    </row>
    <row r="2549" spans="1:2" x14ac:dyDescent="0.3">
      <c r="A2549" s="2">
        <v>45764.125</v>
      </c>
      <c r="B2549">
        <f>3926.46600720796*(3/4)</f>
        <v>2944.8495054059731</v>
      </c>
    </row>
    <row r="2550" spans="1:2" x14ac:dyDescent="0.3">
      <c r="A2550" s="2">
        <v>45764.166666666657</v>
      </c>
      <c r="B2550">
        <f>3793.81148792732*(3/4)</f>
        <v>2845.3586159454885</v>
      </c>
    </row>
    <row r="2551" spans="1:2" x14ac:dyDescent="0.3">
      <c r="A2551" s="2">
        <v>45764.208333333343</v>
      </c>
      <c r="B2551">
        <f>3996.75999825992*(3/4)</f>
        <v>2997.5699986949367</v>
      </c>
    </row>
    <row r="2552" spans="1:2" x14ac:dyDescent="0.3">
      <c r="A2552" s="2">
        <v>45764.25</v>
      </c>
      <c r="B2552">
        <f>3917.30493186421*(3/4)</f>
        <v>2937.9786988981596</v>
      </c>
    </row>
    <row r="2553" spans="1:2" x14ac:dyDescent="0.3">
      <c r="A2553" s="2">
        <v>45764.291666666657</v>
      </c>
      <c r="B2553">
        <f>4213.05481808136*(3/4)</f>
        <v>3159.7911135610202</v>
      </c>
    </row>
    <row r="2554" spans="1:2" x14ac:dyDescent="0.3">
      <c r="A2554" s="2">
        <v>45764.333333333343</v>
      </c>
      <c r="B2554">
        <f>4363.20036319503*(3/4)</f>
        <v>3272.4002723962712</v>
      </c>
    </row>
    <row r="2555" spans="1:2" x14ac:dyDescent="0.3">
      <c r="A2555" s="2">
        <v>45764.375</v>
      </c>
      <c r="B2555">
        <f>3963.66771199258*(3/4)</f>
        <v>2972.7507839944319</v>
      </c>
    </row>
    <row r="2556" spans="1:2" x14ac:dyDescent="0.3">
      <c r="A2556" s="2">
        <v>45764.416666666657</v>
      </c>
      <c r="B2556">
        <f>4238.40835450567*(3/4)</f>
        <v>3178.8062658792519</v>
      </c>
    </row>
    <row r="2557" spans="1:2" x14ac:dyDescent="0.3">
      <c r="A2557" s="2">
        <v>45764.458333333343</v>
      </c>
      <c r="B2557">
        <f>4049.24804244591*(3/4)</f>
        <v>3036.9360318344357</v>
      </c>
    </row>
    <row r="2558" spans="1:2" x14ac:dyDescent="0.3">
      <c r="A2558" s="2">
        <v>45764.5</v>
      </c>
      <c r="B2558">
        <f>2991.53927709394*(3/4)</f>
        <v>2243.6544578204553</v>
      </c>
    </row>
    <row r="2559" spans="1:2" x14ac:dyDescent="0.3">
      <c r="A2559" s="2">
        <v>45764.541666666657</v>
      </c>
      <c r="B2559">
        <f>4220.02651837346*(3/4)</f>
        <v>3165.019888780093</v>
      </c>
    </row>
    <row r="2560" spans="1:2" x14ac:dyDescent="0.3">
      <c r="A2560" s="2">
        <v>45764.583333333343</v>
      </c>
      <c r="B2560">
        <f>3828.20897388283*(3/4)</f>
        <v>2871.1567304121263</v>
      </c>
    </row>
    <row r="2561" spans="1:2" x14ac:dyDescent="0.3">
      <c r="A2561" s="2">
        <v>45764.625</v>
      </c>
      <c r="B2561">
        <f>4025.47380293539*(3/4)</f>
        <v>3019.1053522015418</v>
      </c>
    </row>
    <row r="2562" spans="1:2" x14ac:dyDescent="0.3">
      <c r="A2562" s="2">
        <v>45764.666666666657</v>
      </c>
      <c r="B2562">
        <f>3910.54330259971*(3/4)</f>
        <v>2932.9074769497856</v>
      </c>
    </row>
    <row r="2563" spans="1:2" x14ac:dyDescent="0.3">
      <c r="A2563" s="2">
        <v>45764.708333333343</v>
      </c>
      <c r="B2563">
        <f>3913.26681822574*(3/4)</f>
        <v>2934.9501136693061</v>
      </c>
    </row>
    <row r="2564" spans="1:2" x14ac:dyDescent="0.3">
      <c r="A2564" s="2">
        <v>45764.75</v>
      </c>
      <c r="B2564">
        <f>3818.17542578821*(3/4)</f>
        <v>2863.6315693411589</v>
      </c>
    </row>
    <row r="2565" spans="1:2" x14ac:dyDescent="0.3">
      <c r="A2565" s="2">
        <v>45764.791666666657</v>
      </c>
      <c r="B2565">
        <f>4139.16918889373*(3/4)</f>
        <v>3104.3768916702957</v>
      </c>
    </row>
    <row r="2566" spans="1:2" x14ac:dyDescent="0.3">
      <c r="A2566" s="2">
        <v>45764.833333333343</v>
      </c>
      <c r="B2566">
        <f>3909.71840371885*(3/4)</f>
        <v>2932.2888027891413</v>
      </c>
    </row>
    <row r="2567" spans="1:2" x14ac:dyDescent="0.3">
      <c r="A2567" s="2">
        <v>45764.875</v>
      </c>
      <c r="B2567">
        <f>3881.39841598294*(3/4)</f>
        <v>2911.048811987208</v>
      </c>
    </row>
    <row r="2568" spans="1:2" x14ac:dyDescent="0.3">
      <c r="A2568" s="2">
        <v>45764.916666666657</v>
      </c>
      <c r="B2568">
        <f>3691.38772009558*(3/4)</f>
        <v>2768.5407900716841</v>
      </c>
    </row>
    <row r="2569" spans="1:2" x14ac:dyDescent="0.3">
      <c r="A2569" s="2">
        <v>45764.958333333343</v>
      </c>
      <c r="B2569">
        <f>3939.63621965017*(3/4)</f>
        <v>2954.727164737626</v>
      </c>
    </row>
    <row r="2570" spans="1:2" x14ac:dyDescent="0.3">
      <c r="A2570" s="2">
        <v>45765</v>
      </c>
      <c r="B2570">
        <f>4092.43705363422*(3/4)</f>
        <v>3069.327790225665</v>
      </c>
    </row>
    <row r="2571" spans="1:2" x14ac:dyDescent="0.3">
      <c r="A2571" s="2">
        <v>45765.041666666657</v>
      </c>
      <c r="B2571">
        <f>4108.90452716893*(3/4)</f>
        <v>3081.678395376699</v>
      </c>
    </row>
    <row r="2572" spans="1:2" x14ac:dyDescent="0.3">
      <c r="A2572" s="2">
        <v>45765.083333333343</v>
      </c>
      <c r="B2572">
        <f>3833.45263132105*(3/4)</f>
        <v>2875.089473490787</v>
      </c>
    </row>
    <row r="2573" spans="1:2" x14ac:dyDescent="0.3">
      <c r="A2573" s="2">
        <v>45765.125</v>
      </c>
      <c r="B2573">
        <f>3790.41023388327*(3/4)</f>
        <v>2842.807675412455</v>
      </c>
    </row>
    <row r="2574" spans="1:2" x14ac:dyDescent="0.3">
      <c r="A2574" s="2">
        <v>45765.166666666657</v>
      </c>
      <c r="B2574">
        <f>4029.51681367214*(3/4)</f>
        <v>3022.1376102541026</v>
      </c>
    </row>
    <row r="2575" spans="1:2" x14ac:dyDescent="0.3">
      <c r="A2575" s="2">
        <v>45765.208333333343</v>
      </c>
      <c r="B2575">
        <f>3877.47108279978*(3/4)</f>
        <v>2908.1033120998363</v>
      </c>
    </row>
    <row r="2576" spans="1:2" x14ac:dyDescent="0.3">
      <c r="A2576" s="2">
        <v>45765.25</v>
      </c>
      <c r="B2576">
        <f>3741.61419020341*(3/4)</f>
        <v>2806.210642652557</v>
      </c>
    </row>
    <row r="2577" spans="1:2" x14ac:dyDescent="0.3">
      <c r="A2577" s="2">
        <v>45765.291666666657</v>
      </c>
      <c r="B2577">
        <f>4132.39218026023*(3/4)</f>
        <v>3099.2941351951722</v>
      </c>
    </row>
    <row r="2578" spans="1:2" x14ac:dyDescent="0.3">
      <c r="A2578" s="2">
        <v>45765.333333333343</v>
      </c>
      <c r="B2578">
        <f>4105.70003410378*(3/4)</f>
        <v>3079.2750255778383</v>
      </c>
    </row>
    <row r="2579" spans="1:2" x14ac:dyDescent="0.3">
      <c r="A2579" s="2">
        <v>45765.375</v>
      </c>
      <c r="B2579">
        <f>4025.23391997385*(3/4)</f>
        <v>3018.9254399803858</v>
      </c>
    </row>
    <row r="2580" spans="1:2" x14ac:dyDescent="0.3">
      <c r="A2580" s="2">
        <v>45765.416666666657</v>
      </c>
      <c r="B2580">
        <f>3860.11128002239*(3/4)</f>
        <v>2895.08346001679</v>
      </c>
    </row>
    <row r="2581" spans="1:2" x14ac:dyDescent="0.3">
      <c r="A2581" s="2">
        <v>45765.458333333343</v>
      </c>
      <c r="B2581">
        <f>3777.12055630348*(3/4)</f>
        <v>2832.8404172276096</v>
      </c>
    </row>
    <row r="2582" spans="1:2" x14ac:dyDescent="0.3">
      <c r="A2582" s="2">
        <v>45765.5</v>
      </c>
      <c r="B2582">
        <f>4080.04627126871*(3/4)</f>
        <v>3060.0347034515294</v>
      </c>
    </row>
    <row r="2583" spans="1:2" x14ac:dyDescent="0.3">
      <c r="A2583" s="2">
        <v>45765.541666666657</v>
      </c>
      <c r="B2583">
        <f>4221.6412825772*(3/4)</f>
        <v>3166.2309619328976</v>
      </c>
    </row>
    <row r="2584" spans="1:2" x14ac:dyDescent="0.3">
      <c r="A2584" s="2">
        <v>45765.583333333343</v>
      </c>
      <c r="B2584">
        <f>3667.32285121955*(3/4)</f>
        <v>2750.4921384146637</v>
      </c>
    </row>
    <row r="2585" spans="1:2" x14ac:dyDescent="0.3">
      <c r="A2585" s="2">
        <v>45765.625</v>
      </c>
      <c r="B2585">
        <f>3997.31602169988*(3/4)</f>
        <v>2997.9870162749094</v>
      </c>
    </row>
    <row r="2586" spans="1:2" x14ac:dyDescent="0.3">
      <c r="A2586" s="2">
        <v>45765.666666666657</v>
      </c>
      <c r="B2586">
        <f>4557.27239731094*(3/4)</f>
        <v>3417.9542979832049</v>
      </c>
    </row>
    <row r="2587" spans="1:2" x14ac:dyDescent="0.3">
      <c r="A2587" s="2">
        <v>45765.708333333343</v>
      </c>
      <c r="B2587">
        <f>4056.94458650444*(3/4)</f>
        <v>3042.708439878329</v>
      </c>
    </row>
    <row r="2588" spans="1:2" x14ac:dyDescent="0.3">
      <c r="A2588" s="2">
        <v>45765.75</v>
      </c>
      <c r="B2588">
        <f>3964.00642843239*(3/4)</f>
        <v>2973.0048213242962</v>
      </c>
    </row>
    <row r="2589" spans="1:2" x14ac:dyDescent="0.3">
      <c r="A2589" s="2">
        <v>45765.791666666657</v>
      </c>
      <c r="B2589">
        <f>4233.79420162734*(3/4)</f>
        <v>3175.3456512205048</v>
      </c>
    </row>
    <row r="2590" spans="1:2" x14ac:dyDescent="0.3">
      <c r="A2590" s="2">
        <v>45765.833333333343</v>
      </c>
      <c r="B2590">
        <f>4474.22831832481*(3/4)</f>
        <v>3355.6712387436055</v>
      </c>
    </row>
    <row r="2591" spans="1:2" x14ac:dyDescent="0.3">
      <c r="A2591" s="2">
        <v>45765.875</v>
      </c>
      <c r="B2591">
        <f>4110.72516715047*(3/4)</f>
        <v>3083.043875362855</v>
      </c>
    </row>
    <row r="2592" spans="1:2" x14ac:dyDescent="0.3">
      <c r="A2592" s="2">
        <v>45765.916666666657</v>
      </c>
      <c r="B2592">
        <f>3746.87987114145*(3/4)</f>
        <v>2810.1599033560838</v>
      </c>
    </row>
    <row r="2593" spans="1:2" x14ac:dyDescent="0.3">
      <c r="A2593" s="2">
        <v>45765.958333333343</v>
      </c>
      <c r="B2593">
        <f>4067.62186199035*(3/4)</f>
        <v>3050.7163964927654</v>
      </c>
    </row>
    <row r="2594" spans="1:2" x14ac:dyDescent="0.3">
      <c r="A2594" s="2">
        <v>45766</v>
      </c>
      <c r="B2594">
        <f>4119.2001272303*(3/4)</f>
        <v>3089.4000954227281</v>
      </c>
    </row>
    <row r="2595" spans="1:2" x14ac:dyDescent="0.3">
      <c r="A2595" s="2">
        <v>45766.041666666657</v>
      </c>
      <c r="B2595">
        <f>4043.25127416139*(3/4)</f>
        <v>3032.4384556210412</v>
      </c>
    </row>
    <row r="2596" spans="1:2" x14ac:dyDescent="0.3">
      <c r="A2596" s="2">
        <v>45766.083333333343</v>
      </c>
      <c r="B2596">
        <f>3829.61283125591*(3/4)</f>
        <v>2872.2096234419305</v>
      </c>
    </row>
    <row r="2597" spans="1:2" x14ac:dyDescent="0.3">
      <c r="A2597" s="2">
        <v>45766.125</v>
      </c>
      <c r="B2597">
        <f>3953.31280380235*(3/4)</f>
        <v>2964.9846028517632</v>
      </c>
    </row>
    <row r="2598" spans="1:2" x14ac:dyDescent="0.3">
      <c r="A2598" s="2">
        <v>45766.166666666657</v>
      </c>
      <c r="B2598">
        <f>3363.47031934807*(3/4)</f>
        <v>2522.6027395110523</v>
      </c>
    </row>
    <row r="2599" spans="1:2" x14ac:dyDescent="0.3">
      <c r="A2599" s="2">
        <v>45766.208333333343</v>
      </c>
      <c r="B2599">
        <f>4079.41675294122*(3/4)</f>
        <v>3059.5625647059164</v>
      </c>
    </row>
    <row r="2600" spans="1:2" x14ac:dyDescent="0.3">
      <c r="A2600" s="2">
        <v>45766.25</v>
      </c>
      <c r="B2600">
        <f>3694.79992243972*(3/4)</f>
        <v>2771.0999418297893</v>
      </c>
    </row>
    <row r="2601" spans="1:2" x14ac:dyDescent="0.3">
      <c r="A2601" s="2">
        <v>45766.291666666657</v>
      </c>
      <c r="B2601">
        <f>3826.08850594235*(3/4)</f>
        <v>2869.5663794567654</v>
      </c>
    </row>
    <row r="2602" spans="1:2" x14ac:dyDescent="0.3">
      <c r="A2602" s="2">
        <v>45766.333333333343</v>
      </c>
      <c r="B2602">
        <f>4096.85764536935*(3/4)</f>
        <v>3072.6432340270103</v>
      </c>
    </row>
    <row r="2603" spans="1:2" x14ac:dyDescent="0.3">
      <c r="A2603" s="2">
        <v>45766.375</v>
      </c>
      <c r="B2603">
        <f>3962.19675886422*(3/4)</f>
        <v>2971.6475691481651</v>
      </c>
    </row>
    <row r="2604" spans="1:2" x14ac:dyDescent="0.3">
      <c r="A2604" s="2">
        <v>45766.416666666657</v>
      </c>
      <c r="B2604">
        <f>3905.8932508828*(3/4)</f>
        <v>2929.4199381621011</v>
      </c>
    </row>
    <row r="2605" spans="1:2" x14ac:dyDescent="0.3">
      <c r="A2605" s="2">
        <v>45766.458333333343</v>
      </c>
      <c r="B2605">
        <f>4172.27293063222*(3/4)</f>
        <v>3129.2046979741622</v>
      </c>
    </row>
    <row r="2606" spans="1:2" x14ac:dyDescent="0.3">
      <c r="A2606" s="2">
        <v>45766.5</v>
      </c>
      <c r="B2606">
        <f>3911.35670744204*(3/4)</f>
        <v>2933.5175305815337</v>
      </c>
    </row>
    <row r="2607" spans="1:2" x14ac:dyDescent="0.3">
      <c r="A2607" s="2">
        <v>45766.541666666657</v>
      </c>
      <c r="B2607">
        <f>3997.96098859254*(3/4)</f>
        <v>2998.4707414444019</v>
      </c>
    </row>
    <row r="2608" spans="1:2" x14ac:dyDescent="0.3">
      <c r="A2608" s="2">
        <v>45766.583333333343</v>
      </c>
      <c r="B2608">
        <f>3780.41041100223*(3/4)</f>
        <v>2835.3078082516713</v>
      </c>
    </row>
    <row r="2609" spans="1:2" x14ac:dyDescent="0.3">
      <c r="A2609" s="2">
        <v>45766.625</v>
      </c>
      <c r="B2609">
        <f>3961.26977220922*(3/4)</f>
        <v>2970.9523291569139</v>
      </c>
    </row>
    <row r="2610" spans="1:2" x14ac:dyDescent="0.3">
      <c r="A2610" s="2">
        <v>45766.666666666657</v>
      </c>
      <c r="B2610">
        <f>3684.27611988302*(3/4)</f>
        <v>2763.2070899122673</v>
      </c>
    </row>
    <row r="2611" spans="1:2" x14ac:dyDescent="0.3">
      <c r="A2611" s="2">
        <v>45766.708333333343</v>
      </c>
      <c r="B2611">
        <f>4137.27041273024*(3/4)</f>
        <v>3102.9528095476826</v>
      </c>
    </row>
    <row r="2612" spans="1:2" x14ac:dyDescent="0.3">
      <c r="A2612" s="2">
        <v>45766.75</v>
      </c>
      <c r="B2612">
        <f>4196.36114697946*(3/4)</f>
        <v>3147.2708602345974</v>
      </c>
    </row>
    <row r="2613" spans="1:2" x14ac:dyDescent="0.3">
      <c r="A2613" s="2">
        <v>45766.791666666657</v>
      </c>
      <c r="B2613">
        <f>4145.30989141945*(3/4)</f>
        <v>3108.9824185645866</v>
      </c>
    </row>
    <row r="2614" spans="1:2" x14ac:dyDescent="0.3">
      <c r="A2614" s="2">
        <v>45766.833333333343</v>
      </c>
      <c r="B2614">
        <f>3259.85173828214*(3/4)</f>
        <v>2444.8888037116058</v>
      </c>
    </row>
    <row r="2615" spans="1:2" x14ac:dyDescent="0.3">
      <c r="A2615" s="2">
        <v>45766.875</v>
      </c>
      <c r="B2615">
        <f>3737.01942961384*(3/4)</f>
        <v>2802.7645722103784</v>
      </c>
    </row>
    <row r="2616" spans="1:2" x14ac:dyDescent="0.3">
      <c r="A2616" s="2">
        <v>45766.916666666657</v>
      </c>
      <c r="B2616">
        <f>3563.66717716222*(3/4)</f>
        <v>2672.7503828716649</v>
      </c>
    </row>
    <row r="2617" spans="1:2" x14ac:dyDescent="0.3">
      <c r="A2617" s="2">
        <v>45766.958333333343</v>
      </c>
      <c r="B2617">
        <f>3905.39660053928*(3/4)</f>
        <v>2929.0474504044605</v>
      </c>
    </row>
    <row r="2618" spans="1:2" x14ac:dyDescent="0.3">
      <c r="A2618" s="2">
        <v>45767</v>
      </c>
      <c r="B2618">
        <f>4098.15170264468*(3/4)</f>
        <v>3073.6137769835127</v>
      </c>
    </row>
    <row r="2619" spans="1:2" x14ac:dyDescent="0.3">
      <c r="A2619" s="2">
        <v>45767.041666666657</v>
      </c>
      <c r="B2619">
        <f>3986.73597848773*(3/4)</f>
        <v>2990.0519838657942</v>
      </c>
    </row>
    <row r="2620" spans="1:2" x14ac:dyDescent="0.3">
      <c r="A2620" s="2">
        <v>45767.083333333343</v>
      </c>
      <c r="B2620">
        <f>4087.46874629648*(3/4)</f>
        <v>3065.6015597223577</v>
      </c>
    </row>
    <row r="2621" spans="1:2" x14ac:dyDescent="0.3">
      <c r="A2621" s="2">
        <v>45767.125</v>
      </c>
      <c r="B2621">
        <f>4175.47479766419*(3/4)</f>
        <v>3131.6060982481458</v>
      </c>
    </row>
    <row r="2622" spans="1:2" x14ac:dyDescent="0.3">
      <c r="A2622" s="2">
        <v>45767.166666666657</v>
      </c>
      <c r="B2622">
        <f>3872.3756373408*(3/4)</f>
        <v>2904.2817280056001</v>
      </c>
    </row>
    <row r="2623" spans="1:2" x14ac:dyDescent="0.3">
      <c r="A2623" s="2">
        <v>45767.208333333343</v>
      </c>
      <c r="B2623">
        <f>3824.35809235934*(3/4)</f>
        <v>2868.2685692695072</v>
      </c>
    </row>
    <row r="2624" spans="1:2" x14ac:dyDescent="0.3">
      <c r="A2624" s="2">
        <v>45767.25</v>
      </c>
      <c r="B2624">
        <f>3698.45186713353*(3/4)</f>
        <v>2773.8389003501497</v>
      </c>
    </row>
    <row r="2625" spans="1:2" x14ac:dyDescent="0.3">
      <c r="A2625" s="2">
        <v>45767.291666666657</v>
      </c>
      <c r="B2625">
        <f>4204.81021777544*(3/4)</f>
        <v>3153.6076633315815</v>
      </c>
    </row>
    <row r="2626" spans="1:2" x14ac:dyDescent="0.3">
      <c r="A2626" s="2">
        <v>45767.333333333343</v>
      </c>
      <c r="B2626">
        <f>3215.10241320142*(3/4)</f>
        <v>2411.3268099010656</v>
      </c>
    </row>
    <row r="2627" spans="1:2" x14ac:dyDescent="0.3">
      <c r="A2627" s="2">
        <v>45767.375</v>
      </c>
      <c r="B2627">
        <f>3211.84753104454*(3/4)</f>
        <v>2408.8856482834053</v>
      </c>
    </row>
    <row r="2628" spans="1:2" x14ac:dyDescent="0.3">
      <c r="A2628" s="2">
        <v>45767.416666666657</v>
      </c>
      <c r="B2628">
        <f>3409.95173663284*(3/4)</f>
        <v>2557.4638024746268</v>
      </c>
    </row>
    <row r="2629" spans="1:2" x14ac:dyDescent="0.3">
      <c r="A2629" s="2">
        <v>45767.458333333343</v>
      </c>
      <c r="B2629">
        <f>3431.99380768022*(3/4)</f>
        <v>2573.9953557601675</v>
      </c>
    </row>
    <row r="2630" spans="1:2" x14ac:dyDescent="0.3">
      <c r="A2630" s="2">
        <v>45767.5</v>
      </c>
      <c r="B2630">
        <f>2853.64615296475*(3/4)</f>
        <v>2140.2346147235626</v>
      </c>
    </row>
    <row r="2631" spans="1:2" x14ac:dyDescent="0.3">
      <c r="A2631" s="2">
        <v>45767.541666666657</v>
      </c>
      <c r="B2631">
        <f>3285.85650299358*(3/4)</f>
        <v>2464.3923772451835</v>
      </c>
    </row>
    <row r="2632" spans="1:2" x14ac:dyDescent="0.3">
      <c r="A2632" s="2">
        <v>45767.583333333343</v>
      </c>
      <c r="B2632">
        <f>3015.04730346932*(3/4)</f>
        <v>2261.2854776019863</v>
      </c>
    </row>
    <row r="2633" spans="1:2" x14ac:dyDescent="0.3">
      <c r="A2633" s="2">
        <v>45767.625</v>
      </c>
      <c r="B2633">
        <f>3208.89400505102*(3/4)</f>
        <v>2406.6705037882639</v>
      </c>
    </row>
    <row r="2634" spans="1:2" x14ac:dyDescent="0.3">
      <c r="A2634" s="2">
        <v>45767.666666666657</v>
      </c>
      <c r="B2634">
        <f>3148.45459328733*(3/4)</f>
        <v>2361.3409449654946</v>
      </c>
    </row>
    <row r="2635" spans="1:2" x14ac:dyDescent="0.3">
      <c r="A2635" s="2">
        <v>45767.708333333343</v>
      </c>
      <c r="B2635">
        <f>3949.10272076963*(3/4)</f>
        <v>2961.8270405772219</v>
      </c>
    </row>
    <row r="2636" spans="1:2" x14ac:dyDescent="0.3">
      <c r="A2636" s="2">
        <v>45767.75</v>
      </c>
      <c r="B2636">
        <f>4003.10656398169*(3/4)</f>
        <v>3002.329922986265</v>
      </c>
    </row>
    <row r="2637" spans="1:2" x14ac:dyDescent="0.3">
      <c r="A2637" s="2">
        <v>45767.791666666657</v>
      </c>
      <c r="B2637">
        <f>4171.5932343721*(3/4)</f>
        <v>3128.6949257790766</v>
      </c>
    </row>
    <row r="2638" spans="1:2" x14ac:dyDescent="0.3">
      <c r="A2638" s="2">
        <v>45767.833333333343</v>
      </c>
      <c r="B2638">
        <f>3821.70575825678*(3/4)</f>
        <v>2866.2793186925865</v>
      </c>
    </row>
    <row r="2639" spans="1:2" x14ac:dyDescent="0.3">
      <c r="A2639" s="2">
        <v>45767.875</v>
      </c>
      <c r="B2639">
        <f>3884.73623393995*(3/4)</f>
        <v>2913.5521754549618</v>
      </c>
    </row>
    <row r="2640" spans="1:2" x14ac:dyDescent="0.3">
      <c r="A2640" s="2">
        <v>45767.916666666657</v>
      </c>
      <c r="B2640">
        <f>3587.56541781704*(3/4)</f>
        <v>2690.6740633627824</v>
      </c>
    </row>
    <row r="2641" spans="1:2" x14ac:dyDescent="0.3">
      <c r="A2641" s="2">
        <v>45767.958333333343</v>
      </c>
      <c r="B2641">
        <f>3961.02020563133*(3/4)</f>
        <v>2970.7651542234998</v>
      </c>
    </row>
    <row r="2642" spans="1:2" x14ac:dyDescent="0.3">
      <c r="A2642" s="2">
        <v>45768</v>
      </c>
      <c r="B2642">
        <f>3645.18684631758*(3/4)</f>
        <v>2733.8901347381843</v>
      </c>
    </row>
    <row r="2643" spans="1:2" x14ac:dyDescent="0.3">
      <c r="A2643" s="2">
        <v>45768.041666666657</v>
      </c>
      <c r="B2643">
        <f>3894.43622000109*(3/4)</f>
        <v>2920.8271650008169</v>
      </c>
    </row>
    <row r="2644" spans="1:2" x14ac:dyDescent="0.3">
      <c r="A2644" s="2">
        <v>45768.083333333343</v>
      </c>
      <c r="B2644">
        <f>4059.70120557125*(3/4)</f>
        <v>3044.7759041784348</v>
      </c>
    </row>
    <row r="2645" spans="1:2" x14ac:dyDescent="0.3">
      <c r="A2645" s="2">
        <v>45768.125</v>
      </c>
      <c r="B2645">
        <f>3923.67366081934*(3/4)</f>
        <v>2942.7552456145022</v>
      </c>
    </row>
    <row r="2646" spans="1:2" x14ac:dyDescent="0.3">
      <c r="A2646" s="2">
        <v>45768.166666666657</v>
      </c>
      <c r="B2646">
        <f>3747.5185021034*(3/4)</f>
        <v>2810.63887657755</v>
      </c>
    </row>
    <row r="2647" spans="1:2" x14ac:dyDescent="0.3">
      <c r="A2647" s="2">
        <v>45768.208333333343</v>
      </c>
      <c r="B2647">
        <f>4046.25588677872*(3/4)</f>
        <v>3034.691915084039</v>
      </c>
    </row>
    <row r="2648" spans="1:2" x14ac:dyDescent="0.3">
      <c r="A2648" s="2">
        <v>45768.25</v>
      </c>
      <c r="B2648">
        <f>3919.81044177503*(3/4)</f>
        <v>2939.8578313312728</v>
      </c>
    </row>
    <row r="2649" spans="1:2" x14ac:dyDescent="0.3">
      <c r="A2649" s="2">
        <v>45768.291666666657</v>
      </c>
      <c r="B2649">
        <f>4134.75499880669*(3/4)</f>
        <v>3101.0662491050152</v>
      </c>
    </row>
    <row r="2650" spans="1:2" x14ac:dyDescent="0.3">
      <c r="A2650" s="2">
        <v>45768.333333333343</v>
      </c>
      <c r="B2650">
        <f>3890.15431378595*(3/4)</f>
        <v>2917.6157353394601</v>
      </c>
    </row>
    <row r="2651" spans="1:2" x14ac:dyDescent="0.3">
      <c r="A2651" s="2">
        <v>45768.375</v>
      </c>
      <c r="B2651">
        <f>4134.4189562728*(3/4)</f>
        <v>3100.8142172045982</v>
      </c>
    </row>
    <row r="2652" spans="1:2" x14ac:dyDescent="0.3">
      <c r="A2652" s="2">
        <v>45768.416666666657</v>
      </c>
      <c r="B2652">
        <f>3902.30482428917*(3/4)</f>
        <v>2926.72861821688</v>
      </c>
    </row>
    <row r="2653" spans="1:2" x14ac:dyDescent="0.3">
      <c r="A2653" s="2">
        <v>45768.458333333343</v>
      </c>
      <c r="B2653">
        <f>3887.11828959452*(3/4)</f>
        <v>2915.3387171958898</v>
      </c>
    </row>
    <row r="2654" spans="1:2" x14ac:dyDescent="0.3">
      <c r="A2654" s="2">
        <v>45768.5</v>
      </c>
      <c r="B2654">
        <f>4172.91484867189*(3/4)</f>
        <v>3129.6861365039158</v>
      </c>
    </row>
    <row r="2655" spans="1:2" x14ac:dyDescent="0.3">
      <c r="A2655" s="2">
        <v>45768.541666666657</v>
      </c>
      <c r="B2655">
        <f>4202.29001638764*(3/4)</f>
        <v>3151.7175122907288</v>
      </c>
    </row>
    <row r="2656" spans="1:2" x14ac:dyDescent="0.3">
      <c r="A2656" s="2">
        <v>45768.583333333343</v>
      </c>
      <c r="B2656">
        <f>3781.92753113245*(3/4)</f>
        <v>2836.44564834934</v>
      </c>
    </row>
    <row r="2657" spans="1:2" x14ac:dyDescent="0.3">
      <c r="A2657" s="2">
        <v>45768.625</v>
      </c>
      <c r="B2657">
        <f>4020.39538122979*(3/4)</f>
        <v>3015.2965359223413</v>
      </c>
    </row>
    <row r="2658" spans="1:2" x14ac:dyDescent="0.3">
      <c r="A2658" s="2">
        <v>45768.666666666657</v>
      </c>
      <c r="B2658">
        <f>4150.03412551112*(3/4)</f>
        <v>3112.5255941333426</v>
      </c>
    </row>
    <row r="2659" spans="1:2" x14ac:dyDescent="0.3">
      <c r="A2659" s="2">
        <v>45768.708333333343</v>
      </c>
      <c r="B2659">
        <f>3922.45796679342*(3/4)</f>
        <v>2941.8434750950642</v>
      </c>
    </row>
    <row r="2660" spans="1:2" x14ac:dyDescent="0.3">
      <c r="A2660" s="2">
        <v>45768.75</v>
      </c>
      <c r="B2660">
        <f>3922.41583154299*(3/4)</f>
        <v>2941.8118736572419</v>
      </c>
    </row>
    <row r="2661" spans="1:2" x14ac:dyDescent="0.3">
      <c r="A2661" s="2">
        <v>45768.791666666657</v>
      </c>
      <c r="B2661">
        <f>4002.88672702219*(3/4)</f>
        <v>3002.1650452666418</v>
      </c>
    </row>
    <row r="2662" spans="1:2" x14ac:dyDescent="0.3">
      <c r="A2662" s="2">
        <v>45768.833333333343</v>
      </c>
      <c r="B2662">
        <f>3790.61860319369*(3/4)</f>
        <v>2842.963952395271</v>
      </c>
    </row>
    <row r="2663" spans="1:2" x14ac:dyDescent="0.3">
      <c r="A2663" s="2">
        <v>45768.875</v>
      </c>
      <c r="B2663">
        <f>3961.33023958733*(3/4)</f>
        <v>2970.9976796904975</v>
      </c>
    </row>
    <row r="2664" spans="1:2" x14ac:dyDescent="0.3">
      <c r="A2664" s="2">
        <v>45768.916666666657</v>
      </c>
      <c r="B2664">
        <f>3960.36050986522*(3/4)</f>
        <v>2970.2703823989114</v>
      </c>
    </row>
    <row r="2665" spans="1:2" x14ac:dyDescent="0.3">
      <c r="A2665" s="2">
        <v>45768.958333333343</v>
      </c>
      <c r="B2665">
        <f>4146.4329897971*(3/4)</f>
        <v>3109.8247423478279</v>
      </c>
    </row>
    <row r="2666" spans="1:2" x14ac:dyDescent="0.3">
      <c r="A2666" s="2">
        <v>45769</v>
      </c>
      <c r="B2666">
        <f>4196.48152107756*(3/4)</f>
        <v>3147.361140808167</v>
      </c>
    </row>
    <row r="2667" spans="1:2" x14ac:dyDescent="0.3">
      <c r="A2667" s="2">
        <v>45769.041666666657</v>
      </c>
      <c r="B2667">
        <f>3944.89830642835*(3/4)</f>
        <v>2958.6737298212638</v>
      </c>
    </row>
    <row r="2668" spans="1:2" x14ac:dyDescent="0.3">
      <c r="A2668" s="2">
        <v>45769.083333333343</v>
      </c>
      <c r="B2668">
        <f>3923.55593547646*(3/4)</f>
        <v>2942.6669516073412</v>
      </c>
    </row>
    <row r="2669" spans="1:2" x14ac:dyDescent="0.3">
      <c r="A2669" s="2">
        <v>45769.125</v>
      </c>
      <c r="B2669">
        <f>3920.69349704341*(3/4)</f>
        <v>2940.5201227825601</v>
      </c>
    </row>
    <row r="2670" spans="1:2" x14ac:dyDescent="0.3">
      <c r="A2670" s="2">
        <v>45769.166666666657</v>
      </c>
      <c r="B2670">
        <f>3745.92029241566*(3/4)</f>
        <v>2809.4402193117471</v>
      </c>
    </row>
    <row r="2671" spans="1:2" x14ac:dyDescent="0.3">
      <c r="A2671" s="2">
        <v>45769.208333333343</v>
      </c>
      <c r="B2671">
        <f>4139.67531302065*(3/4)</f>
        <v>3104.7564847654853</v>
      </c>
    </row>
    <row r="2672" spans="1:2" x14ac:dyDescent="0.3">
      <c r="A2672" s="2">
        <v>45769.25</v>
      </c>
      <c r="B2672">
        <f>3813.57433694732*(3/4)</f>
        <v>2860.1807527104938</v>
      </c>
    </row>
    <row r="2673" spans="1:2" x14ac:dyDescent="0.3">
      <c r="A2673" s="2">
        <v>45769.291666666657</v>
      </c>
      <c r="B2673">
        <f>4156.78193025878*(3/4)</f>
        <v>3117.5864476940874</v>
      </c>
    </row>
    <row r="2674" spans="1:2" x14ac:dyDescent="0.3">
      <c r="A2674" s="2">
        <v>45769.333333333343</v>
      </c>
      <c r="B2674">
        <f>4087.25975900778*(3/4)</f>
        <v>3065.4448192558384</v>
      </c>
    </row>
    <row r="2675" spans="1:2" x14ac:dyDescent="0.3">
      <c r="A2675" s="2">
        <v>45769.375</v>
      </c>
      <c r="B2675">
        <f>4081.08597739008*(3/4)</f>
        <v>3060.8144830425572</v>
      </c>
    </row>
    <row r="2676" spans="1:2" x14ac:dyDescent="0.3">
      <c r="A2676" s="2">
        <v>45769.416666666657</v>
      </c>
      <c r="B2676">
        <f>3931.54036122145*(3/4)</f>
        <v>2948.6552709160906</v>
      </c>
    </row>
    <row r="2677" spans="1:2" x14ac:dyDescent="0.3">
      <c r="A2677" s="2">
        <v>45769.458333333343</v>
      </c>
      <c r="B2677">
        <f>4092.64664764364*(3/4)</f>
        <v>3069.4849857327317</v>
      </c>
    </row>
    <row r="2678" spans="1:2" x14ac:dyDescent="0.3">
      <c r="A2678" s="2">
        <v>45769.5</v>
      </c>
      <c r="B2678">
        <f>3887.55133267401*(3/4)</f>
        <v>2915.663499505506</v>
      </c>
    </row>
    <row r="2679" spans="1:2" x14ac:dyDescent="0.3">
      <c r="A2679" s="2">
        <v>45769.541666666657</v>
      </c>
      <c r="B2679">
        <f>3873.23470478448*(3/4)</f>
        <v>2904.9260285883593</v>
      </c>
    </row>
    <row r="2680" spans="1:2" x14ac:dyDescent="0.3">
      <c r="A2680" s="2">
        <v>45769.583333333343</v>
      </c>
      <c r="B2680">
        <f>3911.202302646*(3/4)</f>
        <v>2933.4017269844971</v>
      </c>
    </row>
    <row r="2681" spans="1:2" x14ac:dyDescent="0.3">
      <c r="A2681" s="2">
        <v>45769.625</v>
      </c>
      <c r="B2681">
        <f>4256.89353532739*(3/4)</f>
        <v>3192.6701514955412</v>
      </c>
    </row>
    <row r="2682" spans="1:2" x14ac:dyDescent="0.3">
      <c r="A2682" s="2">
        <v>45769.666666666657</v>
      </c>
      <c r="B2682">
        <f>3832.6775537674*(3/4)</f>
        <v>2874.508165325547</v>
      </c>
    </row>
    <row r="2683" spans="1:2" x14ac:dyDescent="0.3">
      <c r="A2683" s="2">
        <v>45769.708333333343</v>
      </c>
      <c r="B2683">
        <f>4111.60464261213*(3/4)</f>
        <v>3083.7034819590976</v>
      </c>
    </row>
    <row r="2684" spans="1:2" x14ac:dyDescent="0.3">
      <c r="A2684" s="2">
        <v>45769.75</v>
      </c>
      <c r="B2684">
        <f>3941.76225331174*(3/4)</f>
        <v>2956.3216899838021</v>
      </c>
    </row>
    <row r="2685" spans="1:2" x14ac:dyDescent="0.3">
      <c r="A2685" s="2">
        <v>45769.791666666657</v>
      </c>
      <c r="B2685">
        <f>3913.73090215429*(3/4)</f>
        <v>2935.2981766157191</v>
      </c>
    </row>
    <row r="2686" spans="1:2" x14ac:dyDescent="0.3">
      <c r="A2686" s="2">
        <v>45769.833333333343</v>
      </c>
      <c r="B2686">
        <f>4055.8544995855*(3/4)</f>
        <v>3041.8908746891289</v>
      </c>
    </row>
    <row r="2687" spans="1:2" x14ac:dyDescent="0.3">
      <c r="A2687" s="2">
        <v>45769.875</v>
      </c>
      <c r="B2687">
        <f>4208.79026261352*(3/4)</f>
        <v>3156.5926969601428</v>
      </c>
    </row>
    <row r="2688" spans="1:2" x14ac:dyDescent="0.3">
      <c r="A2688" s="2">
        <v>45769.916666666657</v>
      </c>
      <c r="B2688">
        <f>3827.49423926704*(3/4)</f>
        <v>2870.6206794502823</v>
      </c>
    </row>
    <row r="2689" spans="1:2" x14ac:dyDescent="0.3">
      <c r="A2689" s="2">
        <v>45769.958333333343</v>
      </c>
      <c r="B2689">
        <f>3888.48156891896*(3/4)</f>
        <v>2916.36117668922</v>
      </c>
    </row>
    <row r="2690" spans="1:2" x14ac:dyDescent="0.3">
      <c r="A2690" s="2">
        <v>45770</v>
      </c>
      <c r="B2690">
        <f>3999.06670811245*(3/4)</f>
        <v>2999.300031084334</v>
      </c>
    </row>
    <row r="2691" spans="1:2" x14ac:dyDescent="0.3">
      <c r="A2691" s="2">
        <v>45770.041666666657</v>
      </c>
      <c r="B2691">
        <f>3836.7959887264*(3/4)</f>
        <v>2877.5969915448013</v>
      </c>
    </row>
    <row r="2692" spans="1:2" x14ac:dyDescent="0.3">
      <c r="A2692" s="2">
        <v>45770.083333333343</v>
      </c>
      <c r="B2692">
        <f>3718.29740536443*(3/4)</f>
        <v>2788.7230540233254</v>
      </c>
    </row>
    <row r="2693" spans="1:2" x14ac:dyDescent="0.3">
      <c r="A2693" s="2">
        <v>45770.125</v>
      </c>
      <c r="B2693">
        <f>3848.14042372962*(3/4)</f>
        <v>2886.1053177972171</v>
      </c>
    </row>
    <row r="2694" spans="1:2" x14ac:dyDescent="0.3">
      <c r="A2694" s="2">
        <v>45770.166666666657</v>
      </c>
      <c r="B2694">
        <f>4130.73560954885*(3/4)</f>
        <v>3098.051707161635</v>
      </c>
    </row>
    <row r="2695" spans="1:2" x14ac:dyDescent="0.3">
      <c r="A2695" s="2">
        <v>45770.208333333343</v>
      </c>
      <c r="B2695">
        <f>3983.03825916794*(3/4)</f>
        <v>2987.2786943759556</v>
      </c>
    </row>
    <row r="2696" spans="1:2" x14ac:dyDescent="0.3">
      <c r="A2696" s="2">
        <v>45770.25</v>
      </c>
      <c r="B2696">
        <f>3728.14621785188*(3/4)</f>
        <v>2796.1096633889088</v>
      </c>
    </row>
    <row r="2697" spans="1:2" x14ac:dyDescent="0.3">
      <c r="A2697" s="2">
        <v>45770.291666666657</v>
      </c>
      <c r="B2697">
        <f>4066.17737293341*(3/4)</f>
        <v>3049.633029700055</v>
      </c>
    </row>
    <row r="2698" spans="1:2" x14ac:dyDescent="0.3">
      <c r="A2698" s="2">
        <v>45770.333333333343</v>
      </c>
      <c r="B2698">
        <f>4284.36734399773*(3/4)</f>
        <v>3213.2755079982999</v>
      </c>
    </row>
    <row r="2699" spans="1:2" x14ac:dyDescent="0.3">
      <c r="A2699" s="2">
        <v>45770.375</v>
      </c>
      <c r="B2699">
        <f>4027.55278090005*(3/4)</f>
        <v>3020.6645856750388</v>
      </c>
    </row>
    <row r="2700" spans="1:2" x14ac:dyDescent="0.3">
      <c r="A2700" s="2">
        <v>45770.416666666657</v>
      </c>
      <c r="B2700">
        <f>4251.28267516924*(3/4)</f>
        <v>3188.4620063769298</v>
      </c>
    </row>
    <row r="2701" spans="1:2" x14ac:dyDescent="0.3">
      <c r="A2701" s="2">
        <v>45770.458333333343</v>
      </c>
      <c r="B2701">
        <f>3981.16924883775*(3/4)</f>
        <v>2985.876936628315</v>
      </c>
    </row>
    <row r="2702" spans="1:2" x14ac:dyDescent="0.3">
      <c r="A2702" s="2">
        <v>45770.5</v>
      </c>
      <c r="B2702">
        <f>4087.14123160042*(3/4)</f>
        <v>3065.3559237003165</v>
      </c>
    </row>
    <row r="2703" spans="1:2" x14ac:dyDescent="0.3">
      <c r="A2703" s="2">
        <v>45770.541666666657</v>
      </c>
      <c r="B2703">
        <f>3944.58121709508*(3/4)</f>
        <v>2958.4359128213105</v>
      </c>
    </row>
    <row r="2704" spans="1:2" x14ac:dyDescent="0.3">
      <c r="A2704" s="2">
        <v>45770.583333333343</v>
      </c>
      <c r="B2704">
        <f>3631.06373542736*(3/4)</f>
        <v>2723.2978015705194</v>
      </c>
    </row>
    <row r="2705" spans="1:2" x14ac:dyDescent="0.3">
      <c r="A2705" s="2">
        <v>45770.625</v>
      </c>
      <c r="B2705">
        <f>3748.87001630171*(3/4)</f>
        <v>2811.6525122262815</v>
      </c>
    </row>
    <row r="2706" spans="1:2" x14ac:dyDescent="0.3">
      <c r="A2706" s="2">
        <v>45770.666666666657</v>
      </c>
      <c r="B2706">
        <f>4192.50932560713*(3/4)</f>
        <v>3144.3819942053451</v>
      </c>
    </row>
    <row r="2707" spans="1:2" x14ac:dyDescent="0.3">
      <c r="A2707" s="2">
        <v>45770.708333333343</v>
      </c>
      <c r="B2707">
        <f>4328.81122417612*(3/4)</f>
        <v>3246.608418132088</v>
      </c>
    </row>
    <row r="2708" spans="1:2" x14ac:dyDescent="0.3">
      <c r="A2708" s="2">
        <v>45770.75</v>
      </c>
      <c r="B2708">
        <f>4114.45714863004*(3/4)</f>
        <v>3085.8428614725267</v>
      </c>
    </row>
    <row r="2709" spans="1:2" x14ac:dyDescent="0.3">
      <c r="A2709" s="2">
        <v>45770.791666666657</v>
      </c>
      <c r="B2709">
        <f>4082.22294859967*(3/4)</f>
        <v>3061.6672114497533</v>
      </c>
    </row>
    <row r="2710" spans="1:2" x14ac:dyDescent="0.3">
      <c r="A2710" s="2">
        <v>45770.833333333343</v>
      </c>
      <c r="B2710">
        <f>4060.71296905821*(3/4)</f>
        <v>3045.5347267936545</v>
      </c>
    </row>
    <row r="2711" spans="1:2" x14ac:dyDescent="0.3">
      <c r="A2711" s="2">
        <v>45770.875</v>
      </c>
      <c r="B2711">
        <f>4214.18792899286*(3/4)</f>
        <v>3160.6409467446429</v>
      </c>
    </row>
    <row r="2712" spans="1:2" x14ac:dyDescent="0.3">
      <c r="A2712" s="2">
        <v>45770.916666666657</v>
      </c>
      <c r="B2712">
        <f>3800.63062980029*(3/4)</f>
        <v>2850.4729723502151</v>
      </c>
    </row>
    <row r="2713" spans="1:2" x14ac:dyDescent="0.3">
      <c r="A2713" s="2">
        <v>45770.958333333343</v>
      </c>
      <c r="B2713">
        <f>3778.15717971622*(3/4)</f>
        <v>2833.6178847871652</v>
      </c>
    </row>
    <row r="2714" spans="1:2" x14ac:dyDescent="0.3">
      <c r="A2714" s="2">
        <v>45771</v>
      </c>
      <c r="B2714">
        <f>3933.49372393174*(3/4)</f>
        <v>2950.1202929488027</v>
      </c>
    </row>
    <row r="2715" spans="1:2" x14ac:dyDescent="0.3">
      <c r="A2715" s="2">
        <v>45771.041666666657</v>
      </c>
      <c r="B2715">
        <f>3737.24995121866*(3/4)</f>
        <v>2802.9374634139958</v>
      </c>
    </row>
    <row r="2716" spans="1:2" x14ac:dyDescent="0.3">
      <c r="A2716" s="2">
        <v>45771.083333333343</v>
      </c>
      <c r="B2716">
        <f>3880.84224397721*(3/4)</f>
        <v>2910.6316829829084</v>
      </c>
    </row>
    <row r="2717" spans="1:2" x14ac:dyDescent="0.3">
      <c r="A2717" s="2">
        <v>45771.125</v>
      </c>
      <c r="B2717">
        <f>3835.63843004878*(3/4)</f>
        <v>2876.7288225365828</v>
      </c>
    </row>
    <row r="2718" spans="1:2" x14ac:dyDescent="0.3">
      <c r="A2718" s="2">
        <v>45771.166666666657</v>
      </c>
      <c r="B2718">
        <f>4177.5869383923*(3/4)</f>
        <v>3133.1902037942218</v>
      </c>
    </row>
    <row r="2719" spans="1:2" x14ac:dyDescent="0.3">
      <c r="A2719" s="2">
        <v>45771.208333333343</v>
      </c>
      <c r="B2719">
        <f>3856.51896483508*(3/4)</f>
        <v>2892.3892236263123</v>
      </c>
    </row>
    <row r="2720" spans="1:2" x14ac:dyDescent="0.3">
      <c r="A2720" s="2">
        <v>45771.25</v>
      </c>
      <c r="B2720">
        <f>3740.65038017199*(3/4)</f>
        <v>2805.487785128993</v>
      </c>
    </row>
    <row r="2721" spans="1:2" x14ac:dyDescent="0.3">
      <c r="A2721" s="2">
        <v>45771.291666666657</v>
      </c>
      <c r="B2721">
        <f>3788.29222674779*(3/4)</f>
        <v>2841.2191700608396</v>
      </c>
    </row>
    <row r="2722" spans="1:2" x14ac:dyDescent="0.3">
      <c r="A2722" s="2">
        <v>45771.333333333343</v>
      </c>
      <c r="B2722">
        <f>4045.29272423492*(3/4)</f>
        <v>3033.9695431761884</v>
      </c>
    </row>
    <row r="2723" spans="1:2" x14ac:dyDescent="0.3">
      <c r="A2723" s="2">
        <v>45771.375</v>
      </c>
      <c r="B2723">
        <f>3925.47435229169*(3/4)</f>
        <v>2944.1057642187639</v>
      </c>
    </row>
    <row r="2724" spans="1:2" x14ac:dyDescent="0.3">
      <c r="A2724" s="2">
        <v>45771.416666666657</v>
      </c>
      <c r="B2724">
        <f>4242.15064841136*(3/4)</f>
        <v>3181.6129863085216</v>
      </c>
    </row>
    <row r="2725" spans="1:2" x14ac:dyDescent="0.3">
      <c r="A2725" s="2">
        <v>45771.458333333343</v>
      </c>
      <c r="B2725">
        <f>4006.82962391715*(3/4)</f>
        <v>3005.1222179378601</v>
      </c>
    </row>
    <row r="2726" spans="1:2" x14ac:dyDescent="0.3">
      <c r="A2726" s="2">
        <v>45771.5</v>
      </c>
      <c r="B2726">
        <f>4223.11857181082*(3/4)</f>
        <v>3167.3389288581116</v>
      </c>
    </row>
    <row r="2727" spans="1:2" x14ac:dyDescent="0.3">
      <c r="A2727" s="2">
        <v>45771.541666666657</v>
      </c>
      <c r="B2727">
        <f>4113.35069665066*(3/4)</f>
        <v>3085.0130224879922</v>
      </c>
    </row>
    <row r="2728" spans="1:2" x14ac:dyDescent="0.3">
      <c r="A2728" s="2">
        <v>45771.583333333343</v>
      </c>
      <c r="B2728">
        <f>3723.22533749355*(3/4)</f>
        <v>2792.4190031201656</v>
      </c>
    </row>
    <row r="2729" spans="1:2" x14ac:dyDescent="0.3">
      <c r="A2729" s="2">
        <v>45771.625</v>
      </c>
      <c r="B2729">
        <f>4060.14419885767*(3/4)</f>
        <v>3045.1081491432515</v>
      </c>
    </row>
    <row r="2730" spans="1:2" x14ac:dyDescent="0.3">
      <c r="A2730" s="2">
        <v>45771.666666666657</v>
      </c>
      <c r="B2730">
        <f>3832.35155536351*(3/4)</f>
        <v>2874.2636665226319</v>
      </c>
    </row>
    <row r="2731" spans="1:2" x14ac:dyDescent="0.3">
      <c r="A2731" s="2">
        <v>45771.708333333343</v>
      </c>
      <c r="B2731">
        <f>3934.66447298624*(3/4)</f>
        <v>2950.9983547396782</v>
      </c>
    </row>
    <row r="2732" spans="1:2" x14ac:dyDescent="0.3">
      <c r="A2732" s="2">
        <v>45771.75</v>
      </c>
      <c r="B2732">
        <f>3986.88674508263*(3/4)</f>
        <v>2990.1650588119733</v>
      </c>
    </row>
    <row r="2733" spans="1:2" x14ac:dyDescent="0.3">
      <c r="A2733" s="2">
        <v>45771.791666666657</v>
      </c>
      <c r="B2733">
        <f>3848.14787403791*(3/4)</f>
        <v>2886.1109055284323</v>
      </c>
    </row>
    <row r="2734" spans="1:2" x14ac:dyDescent="0.3">
      <c r="A2734" s="2">
        <v>45771.833333333343</v>
      </c>
      <c r="B2734">
        <f>4319.97069350241*(3/4)</f>
        <v>3239.9780201268072</v>
      </c>
    </row>
    <row r="2735" spans="1:2" x14ac:dyDescent="0.3">
      <c r="A2735" s="2">
        <v>45771.875</v>
      </c>
      <c r="B2735">
        <f>3829.61240915973*(3/4)</f>
        <v>2872.2093068697995</v>
      </c>
    </row>
    <row r="2736" spans="1:2" x14ac:dyDescent="0.3">
      <c r="A2736" s="2">
        <v>45771.916666666657</v>
      </c>
      <c r="B2736">
        <f>3648.7377545028*(3/4)</f>
        <v>2736.5533158771032</v>
      </c>
    </row>
    <row r="2737" spans="1:2" x14ac:dyDescent="0.3">
      <c r="A2737" s="2">
        <v>45771.958333333343</v>
      </c>
      <c r="B2737">
        <f>3814.84920861696*(3/4)</f>
        <v>2861.1369064627193</v>
      </c>
    </row>
    <row r="2738" spans="1:2" x14ac:dyDescent="0.3">
      <c r="A2738" s="2">
        <v>45772</v>
      </c>
      <c r="B2738">
        <f>3997.53776499485*(3/4)</f>
        <v>2998.1533237461335</v>
      </c>
    </row>
    <row r="2739" spans="1:2" x14ac:dyDescent="0.3">
      <c r="A2739" s="2">
        <v>45772.041666666657</v>
      </c>
      <c r="B2739">
        <f>4065.17560072267*(3/4)</f>
        <v>3048.8817005419996</v>
      </c>
    </row>
    <row r="2740" spans="1:2" x14ac:dyDescent="0.3">
      <c r="A2740" s="2">
        <v>45772.083333333343</v>
      </c>
      <c r="B2740">
        <f>4078.79610760015*(3/4)</f>
        <v>3059.0970807001154</v>
      </c>
    </row>
    <row r="2741" spans="1:2" x14ac:dyDescent="0.3">
      <c r="A2741" s="2">
        <v>45772.125</v>
      </c>
      <c r="B2741">
        <f>3803.15039058879*(3/4)</f>
        <v>2852.3627929415934</v>
      </c>
    </row>
    <row r="2742" spans="1:2" x14ac:dyDescent="0.3">
      <c r="A2742" s="2">
        <v>45772.166666666657</v>
      </c>
      <c r="B2742">
        <f>3623.06166009623*(3/4)</f>
        <v>2717.2962450721716</v>
      </c>
    </row>
    <row r="2743" spans="1:2" x14ac:dyDescent="0.3">
      <c r="A2743" s="2">
        <v>45772.208333333343</v>
      </c>
      <c r="B2743">
        <f>3875.2777453746*(3/4)</f>
        <v>2906.458309030947</v>
      </c>
    </row>
    <row r="2744" spans="1:2" x14ac:dyDescent="0.3">
      <c r="A2744" s="2">
        <v>45772.25</v>
      </c>
      <c r="B2744">
        <f>3947.72439653517*(3/4)</f>
        <v>2960.7932974013761</v>
      </c>
    </row>
    <row r="2745" spans="1:2" x14ac:dyDescent="0.3">
      <c r="A2745" s="2">
        <v>45772.291666666657</v>
      </c>
      <c r="B2745">
        <f>4063.3594210252*(3/4)</f>
        <v>3047.5195657688987</v>
      </c>
    </row>
    <row r="2746" spans="1:2" x14ac:dyDescent="0.3">
      <c r="A2746" s="2">
        <v>45772.333333333343</v>
      </c>
      <c r="B2746">
        <f>3789.74758105248*(3/4)</f>
        <v>2842.3106857893576</v>
      </c>
    </row>
    <row r="2747" spans="1:2" x14ac:dyDescent="0.3">
      <c r="A2747" s="2">
        <v>45772.375</v>
      </c>
      <c r="B2747">
        <f>4194.79890662824*(3/4)</f>
        <v>3146.0991799711819</v>
      </c>
    </row>
    <row r="2748" spans="1:2" x14ac:dyDescent="0.3">
      <c r="A2748" s="2">
        <v>45772.416666666657</v>
      </c>
      <c r="B2748">
        <f>4228.70970760188*(3/4)</f>
        <v>3171.5322807014109</v>
      </c>
    </row>
    <row r="2749" spans="1:2" x14ac:dyDescent="0.3">
      <c r="A2749" s="2">
        <v>45772.458333333343</v>
      </c>
      <c r="B2749">
        <f>4281.04391341447*(3/4)</f>
        <v>3210.7829350608517</v>
      </c>
    </row>
    <row r="2750" spans="1:2" x14ac:dyDescent="0.3">
      <c r="A2750" s="2">
        <v>45772.5</v>
      </c>
      <c r="B2750">
        <f>4064.82695961929*(3/4)</f>
        <v>3048.6202197144698</v>
      </c>
    </row>
    <row r="2751" spans="1:2" x14ac:dyDescent="0.3">
      <c r="A2751" s="2">
        <v>45772.541666666657</v>
      </c>
      <c r="B2751">
        <f>4297.60010949012*(3/4)</f>
        <v>3223.200082117588</v>
      </c>
    </row>
    <row r="2752" spans="1:2" x14ac:dyDescent="0.3">
      <c r="A2752" s="2">
        <v>45772.583333333343</v>
      </c>
      <c r="B2752">
        <f>3575.59934845305*(3/4)</f>
        <v>2681.6995113397861</v>
      </c>
    </row>
    <row r="2753" spans="1:2" x14ac:dyDescent="0.3">
      <c r="A2753" s="2">
        <v>45772.625</v>
      </c>
      <c r="B2753">
        <f>3751.21224856171*(3/4)</f>
        <v>2813.4091864212801</v>
      </c>
    </row>
    <row r="2754" spans="1:2" x14ac:dyDescent="0.3">
      <c r="A2754" s="2">
        <v>45772.666666666657</v>
      </c>
      <c r="B2754">
        <f>3697.63660441659*(3/4)</f>
        <v>2773.2274533124432</v>
      </c>
    </row>
    <row r="2755" spans="1:2" x14ac:dyDescent="0.3">
      <c r="A2755" s="2">
        <v>45772.708333333343</v>
      </c>
      <c r="B2755">
        <f>4072.60234444458*(3/4)</f>
        <v>3054.4517583334318</v>
      </c>
    </row>
    <row r="2756" spans="1:2" x14ac:dyDescent="0.3">
      <c r="A2756" s="2">
        <v>45772.75</v>
      </c>
      <c r="B2756">
        <f>3929.51142000775*(3/4)</f>
        <v>2947.1335650058099</v>
      </c>
    </row>
    <row r="2757" spans="1:2" x14ac:dyDescent="0.3">
      <c r="A2757" s="2">
        <v>45772.791666666657</v>
      </c>
      <c r="B2757">
        <f>4098.63837686709*(3/4)</f>
        <v>3073.9787826503198</v>
      </c>
    </row>
    <row r="2758" spans="1:2" x14ac:dyDescent="0.3">
      <c r="A2758" s="2">
        <v>45772.833333333343</v>
      </c>
      <c r="B2758">
        <f>4005.84381446758*(3/4)</f>
        <v>3004.3828608506842</v>
      </c>
    </row>
    <row r="2759" spans="1:2" x14ac:dyDescent="0.3">
      <c r="A2759" s="2">
        <v>45772.875</v>
      </c>
      <c r="B2759">
        <f>4242.66719801743*(3/4)</f>
        <v>3182.0003985130706</v>
      </c>
    </row>
    <row r="2760" spans="1:2" x14ac:dyDescent="0.3">
      <c r="A2760" s="2">
        <v>45772.916666666657</v>
      </c>
      <c r="B2760">
        <f>3783.08336680292*(3/4)</f>
        <v>2837.3125251021938</v>
      </c>
    </row>
    <row r="2761" spans="1:2" x14ac:dyDescent="0.3">
      <c r="A2761" s="2">
        <v>45772.958333333343</v>
      </c>
      <c r="B2761">
        <f>3691.04546024415*(3/4)</f>
        <v>2768.284095183114</v>
      </c>
    </row>
    <row r="2762" spans="1:2" x14ac:dyDescent="0.3">
      <c r="A2762" s="2">
        <v>45773</v>
      </c>
      <c r="B2762">
        <f>4116.59116670972*(3/4)</f>
        <v>3087.4433750322892</v>
      </c>
    </row>
    <row r="2763" spans="1:2" x14ac:dyDescent="0.3">
      <c r="A2763" s="2">
        <v>45773.041666666657</v>
      </c>
      <c r="B2763">
        <f>3897.26076616066*(3/4)</f>
        <v>2922.9455746204931</v>
      </c>
    </row>
    <row r="2764" spans="1:2" x14ac:dyDescent="0.3">
      <c r="A2764" s="2">
        <v>45773.083333333343</v>
      </c>
      <c r="B2764">
        <f>3826.87783538697*(3/4)</f>
        <v>2870.1583765402265</v>
      </c>
    </row>
    <row r="2765" spans="1:2" x14ac:dyDescent="0.3">
      <c r="A2765" s="2">
        <v>45773.125</v>
      </c>
      <c r="B2765">
        <f>3883.5915869836*(3/4)</f>
        <v>2912.6936902377038</v>
      </c>
    </row>
    <row r="2766" spans="1:2" x14ac:dyDescent="0.3">
      <c r="A2766" s="2">
        <v>45773.166666666657</v>
      </c>
      <c r="B2766">
        <f>3717.13707443579*(3/4)</f>
        <v>2787.852805826843</v>
      </c>
    </row>
    <row r="2767" spans="1:2" x14ac:dyDescent="0.3">
      <c r="A2767" s="2">
        <v>45773.208333333343</v>
      </c>
      <c r="B2767">
        <f>3608.00488603214*(3/4)</f>
        <v>2706.0036645241044</v>
      </c>
    </row>
    <row r="2768" spans="1:2" x14ac:dyDescent="0.3">
      <c r="A2768" s="2">
        <v>45773.25</v>
      </c>
      <c r="B2768">
        <f>4097.92294802463*(3/4)</f>
        <v>3073.4422110184751</v>
      </c>
    </row>
    <row r="2769" spans="1:2" x14ac:dyDescent="0.3">
      <c r="A2769" s="2">
        <v>45773.291666666657</v>
      </c>
      <c r="B2769">
        <f>4333.91176844789*(3/4)</f>
        <v>3250.4338263359177</v>
      </c>
    </row>
    <row r="2770" spans="1:2" x14ac:dyDescent="0.3">
      <c r="A2770" s="2">
        <v>45773.333333333343</v>
      </c>
      <c r="B2770">
        <f>3899.28108060771*(3/4)</f>
        <v>2924.4608104557792</v>
      </c>
    </row>
    <row r="2771" spans="1:2" x14ac:dyDescent="0.3">
      <c r="A2771" s="2">
        <v>45773.375</v>
      </c>
      <c r="B2771">
        <f>3915.13720509193*(3/4)</f>
        <v>2936.352903818949</v>
      </c>
    </row>
    <row r="2772" spans="1:2" x14ac:dyDescent="0.3">
      <c r="A2772" s="2">
        <v>45773.416666666657</v>
      </c>
      <c r="B2772">
        <f>3914.05661875642*(3/4)</f>
        <v>2935.542464067315</v>
      </c>
    </row>
    <row r="2773" spans="1:2" x14ac:dyDescent="0.3">
      <c r="A2773" s="2">
        <v>45773.458333333343</v>
      </c>
      <c r="B2773">
        <f>3986.68567994952*(3/4)</f>
        <v>2990.0142599621404</v>
      </c>
    </row>
    <row r="2774" spans="1:2" x14ac:dyDescent="0.3">
      <c r="A2774" s="2">
        <v>45773.5</v>
      </c>
      <c r="B2774">
        <f>4063.38025019107*(3/4)</f>
        <v>3047.535187643301</v>
      </c>
    </row>
    <row r="2775" spans="1:2" x14ac:dyDescent="0.3">
      <c r="A2775" s="2">
        <v>45773.541666666657</v>
      </c>
      <c r="B2775">
        <f>4040.3137506704*(3/4)</f>
        <v>3030.2353130027968</v>
      </c>
    </row>
    <row r="2776" spans="1:2" x14ac:dyDescent="0.3">
      <c r="A2776" s="2">
        <v>45773.583333333343</v>
      </c>
      <c r="B2776">
        <f>3828.41399435056*(3/4)</f>
        <v>2871.3104957629203</v>
      </c>
    </row>
    <row r="2777" spans="1:2" x14ac:dyDescent="0.3">
      <c r="A2777" s="2">
        <v>45773.625</v>
      </c>
      <c r="B2777">
        <f>4252.5518518373*(3/4)</f>
        <v>3189.4138888779758</v>
      </c>
    </row>
    <row r="2778" spans="1:2" x14ac:dyDescent="0.3">
      <c r="A2778" s="2">
        <v>45773.666666666657</v>
      </c>
      <c r="B2778">
        <f>3784.75980708793*(3/4)</f>
        <v>2838.5698553159509</v>
      </c>
    </row>
    <row r="2779" spans="1:2" x14ac:dyDescent="0.3">
      <c r="A2779" s="2">
        <v>45773.708333333343</v>
      </c>
      <c r="B2779">
        <f>4046.03021839705*(3/4)</f>
        <v>3034.5226637977867</v>
      </c>
    </row>
    <row r="2780" spans="1:2" x14ac:dyDescent="0.3">
      <c r="A2780" s="2">
        <v>45773.75</v>
      </c>
      <c r="B2780">
        <f>3886.13735847748*(3/4)</f>
        <v>2914.6030188581108</v>
      </c>
    </row>
    <row r="2781" spans="1:2" x14ac:dyDescent="0.3">
      <c r="A2781" s="2">
        <v>45773.791666666657</v>
      </c>
      <c r="B2781">
        <f>4115.40863785635*(3/4)</f>
        <v>3086.5564783922591</v>
      </c>
    </row>
    <row r="2782" spans="1:2" x14ac:dyDescent="0.3">
      <c r="A2782" s="2">
        <v>45773.833333333343</v>
      </c>
      <c r="B2782">
        <f>4324.09387111882*(3/4)</f>
        <v>3243.0704033391175</v>
      </c>
    </row>
    <row r="2783" spans="1:2" x14ac:dyDescent="0.3">
      <c r="A2783" s="2">
        <v>45773.875</v>
      </c>
      <c r="B2783">
        <f>4266.90339742544*(3/4)</f>
        <v>3200.1775480690767</v>
      </c>
    </row>
    <row r="2784" spans="1:2" x14ac:dyDescent="0.3">
      <c r="A2784" s="2">
        <v>45773.916666666657</v>
      </c>
      <c r="B2784">
        <f>3906.09321889359*(3/4)</f>
        <v>2929.5699141701912</v>
      </c>
    </row>
    <row r="2785" spans="1:2" x14ac:dyDescent="0.3">
      <c r="A2785" s="2">
        <v>45773.958333333343</v>
      </c>
      <c r="B2785">
        <f>3889.22969400981*(3/4)</f>
        <v>2916.9222705073566</v>
      </c>
    </row>
    <row r="2786" spans="1:2" x14ac:dyDescent="0.3">
      <c r="A2786" s="2">
        <v>45774</v>
      </c>
      <c r="B2786">
        <f>3893.07731556898*(3/4)</f>
        <v>2919.8079866767321</v>
      </c>
    </row>
    <row r="2787" spans="1:2" x14ac:dyDescent="0.3">
      <c r="A2787" s="2">
        <v>45774.041666666657</v>
      </c>
      <c r="B2787">
        <f>3960.48619293272*(3/4)</f>
        <v>2970.3646446995385</v>
      </c>
    </row>
    <row r="2788" spans="1:2" x14ac:dyDescent="0.3">
      <c r="A2788" s="2">
        <v>45774.083333333343</v>
      </c>
      <c r="B2788">
        <f>4044.30856008208*(3/4)</f>
        <v>3033.2314200615592</v>
      </c>
    </row>
    <row r="2789" spans="1:2" x14ac:dyDescent="0.3">
      <c r="A2789" s="2">
        <v>45774.125</v>
      </c>
      <c r="B2789">
        <f>3755.39718725841*(3/4)</f>
        <v>2816.547890443805</v>
      </c>
    </row>
    <row r="2790" spans="1:2" x14ac:dyDescent="0.3">
      <c r="A2790" s="2">
        <v>45774.166666666657</v>
      </c>
      <c r="B2790">
        <f>3904.73255144205*(3/4)</f>
        <v>2928.5494135815361</v>
      </c>
    </row>
    <row r="2791" spans="1:2" x14ac:dyDescent="0.3">
      <c r="A2791" s="2">
        <v>45774.208333333343</v>
      </c>
      <c r="B2791">
        <f>3687.90428422676*(3/4)</f>
        <v>2765.9282131700679</v>
      </c>
    </row>
    <row r="2792" spans="1:2" x14ac:dyDescent="0.3">
      <c r="A2792" s="2">
        <v>45774.25</v>
      </c>
      <c r="B2792">
        <f>3633.69918111269*(3/4)</f>
        <v>2725.2743858345198</v>
      </c>
    </row>
    <row r="2793" spans="1:2" x14ac:dyDescent="0.3">
      <c r="A2793" s="2">
        <v>45774.291666666657</v>
      </c>
      <c r="B2793">
        <f>3861.65402641799*(3/4)</f>
        <v>2896.2405198134925</v>
      </c>
    </row>
    <row r="2794" spans="1:2" x14ac:dyDescent="0.3">
      <c r="A2794" s="2">
        <v>45774.333333333343</v>
      </c>
      <c r="B2794">
        <f>3076.06460173196*(3/4)</f>
        <v>2307.0484512989733</v>
      </c>
    </row>
    <row r="2795" spans="1:2" x14ac:dyDescent="0.3">
      <c r="A2795" s="2">
        <v>45774.375</v>
      </c>
      <c r="B2795">
        <f>3135.97178293018*(3/4)</f>
        <v>2351.9788371976356</v>
      </c>
    </row>
    <row r="2796" spans="1:2" x14ac:dyDescent="0.3">
      <c r="A2796" s="2">
        <v>45774.416666666657</v>
      </c>
      <c r="B2796">
        <f>3227.45417261944*(3/4)</f>
        <v>2420.5906294645765</v>
      </c>
    </row>
    <row r="2797" spans="1:2" x14ac:dyDescent="0.3">
      <c r="A2797" s="2">
        <v>45774.458333333343</v>
      </c>
      <c r="B2797">
        <f>3234.52114461379*(3/4)</f>
        <v>2425.8908584603419</v>
      </c>
    </row>
    <row r="2798" spans="1:2" x14ac:dyDescent="0.3">
      <c r="A2798" s="2">
        <v>45774.5</v>
      </c>
      <c r="B2798">
        <f>3279.9868319484*(3/4)</f>
        <v>2459.9901239612987</v>
      </c>
    </row>
    <row r="2799" spans="1:2" x14ac:dyDescent="0.3">
      <c r="A2799" s="2">
        <v>45774.541666666657</v>
      </c>
      <c r="B2799">
        <f>3172.48492725776*(3/4)</f>
        <v>2379.3636954433232</v>
      </c>
    </row>
    <row r="2800" spans="1:2" x14ac:dyDescent="0.3">
      <c r="A2800" s="2">
        <v>45774.583333333343</v>
      </c>
      <c r="B2800">
        <f>2859.68093339816*(3/4)</f>
        <v>2144.76070004862</v>
      </c>
    </row>
    <row r="2801" spans="1:2" x14ac:dyDescent="0.3">
      <c r="A2801" s="2">
        <v>45774.625</v>
      </c>
      <c r="B2801">
        <f>3241.74634829236*(3/4)</f>
        <v>2431.3097612192723</v>
      </c>
    </row>
    <row r="2802" spans="1:2" x14ac:dyDescent="0.3">
      <c r="A2802" s="2">
        <v>45774.666666666657</v>
      </c>
      <c r="B2802">
        <f>3377.45348014745*(3/4)</f>
        <v>2533.0901101105892</v>
      </c>
    </row>
    <row r="2803" spans="1:2" x14ac:dyDescent="0.3">
      <c r="A2803" s="2">
        <v>45774.708333333343</v>
      </c>
      <c r="B2803">
        <f>3944.41754848872*(3/4)</f>
        <v>2958.3131613665378</v>
      </c>
    </row>
    <row r="2804" spans="1:2" x14ac:dyDescent="0.3">
      <c r="A2804" s="2">
        <v>45774.75</v>
      </c>
      <c r="B2804">
        <f>4142.45439664707*(3/4)</f>
        <v>3106.8407974853035</v>
      </c>
    </row>
    <row r="2805" spans="1:2" x14ac:dyDescent="0.3">
      <c r="A2805" s="2">
        <v>45774.791666666657</v>
      </c>
      <c r="B2805">
        <f>3958.24767541663*(3/4)</f>
        <v>2968.6857565624723</v>
      </c>
    </row>
    <row r="2806" spans="1:2" x14ac:dyDescent="0.3">
      <c r="A2806" s="2">
        <v>45774.833333333343</v>
      </c>
      <c r="B2806">
        <f>4156.92332517348*(3/4)</f>
        <v>3117.6924938801112</v>
      </c>
    </row>
    <row r="2807" spans="1:2" x14ac:dyDescent="0.3">
      <c r="A2807" s="2">
        <v>45774.875</v>
      </c>
      <c r="B2807">
        <f>3749.20083643491*(3/4)</f>
        <v>2811.9006273261839</v>
      </c>
    </row>
    <row r="2808" spans="1:2" x14ac:dyDescent="0.3">
      <c r="A2808" s="2">
        <v>45774.916666666657</v>
      </c>
      <c r="B2808">
        <f>3675.44780504796*(3/4)</f>
        <v>2756.5858537859685</v>
      </c>
    </row>
    <row r="2809" spans="1:2" x14ac:dyDescent="0.3">
      <c r="A2809" s="2">
        <v>45774.958333333343</v>
      </c>
      <c r="B2809">
        <f>3740.16673830851*(3/4)</f>
        <v>2805.1250537313817</v>
      </c>
    </row>
    <row r="2810" spans="1:2" x14ac:dyDescent="0.3">
      <c r="A2810" s="2">
        <v>45775</v>
      </c>
      <c r="B2810">
        <f>3934.91296958808*(3/4)</f>
        <v>2951.1847271910592</v>
      </c>
    </row>
    <row r="2811" spans="1:2" x14ac:dyDescent="0.3">
      <c r="A2811" s="2">
        <v>45775.041666666657</v>
      </c>
      <c r="B2811">
        <f>3849.86308133988*(3/4)</f>
        <v>2887.3973110049101</v>
      </c>
    </row>
    <row r="2812" spans="1:2" x14ac:dyDescent="0.3">
      <c r="A2812" s="2">
        <v>45775.083333333343</v>
      </c>
      <c r="B2812">
        <f>4002.3652819182*(3/4)</f>
        <v>3001.7739614386492</v>
      </c>
    </row>
    <row r="2813" spans="1:2" x14ac:dyDescent="0.3">
      <c r="A2813" s="2">
        <v>45775.125</v>
      </c>
      <c r="B2813">
        <f>4030.70767870551*(3/4)</f>
        <v>3023.0307590291341</v>
      </c>
    </row>
    <row r="2814" spans="1:2" x14ac:dyDescent="0.3">
      <c r="A2814" s="2">
        <v>45775.166666666657</v>
      </c>
      <c r="B2814">
        <f>3940.68496646833*(3/4)</f>
        <v>2955.5137248512501</v>
      </c>
    </row>
    <row r="2815" spans="1:2" x14ac:dyDescent="0.3">
      <c r="A2815" s="2">
        <v>45775.208333333343</v>
      </c>
      <c r="B2815">
        <f>3970.07371304774*(3/4)</f>
        <v>2977.5552847858062</v>
      </c>
    </row>
    <row r="2816" spans="1:2" x14ac:dyDescent="0.3">
      <c r="A2816" s="2">
        <v>45775.25</v>
      </c>
      <c r="B2816">
        <f>3795.07582590174*(3/4)</f>
        <v>2846.3068694263065</v>
      </c>
    </row>
    <row r="2817" spans="1:2" x14ac:dyDescent="0.3">
      <c r="A2817" s="2">
        <v>45775.291666666657</v>
      </c>
      <c r="B2817">
        <f>4025.33226562276*(3/4)</f>
        <v>3018.9991992170708</v>
      </c>
    </row>
    <row r="2818" spans="1:2" x14ac:dyDescent="0.3">
      <c r="A2818" s="2">
        <v>45775.333333333343</v>
      </c>
      <c r="B2818">
        <f>3859.7131601683*(3/4)</f>
        <v>2894.7848701262283</v>
      </c>
    </row>
    <row r="2819" spans="1:2" x14ac:dyDescent="0.3">
      <c r="A2819" s="2">
        <v>45775.375</v>
      </c>
      <c r="B2819">
        <f>4036.08970308754*(3/4)</f>
        <v>3027.067277315658</v>
      </c>
    </row>
    <row r="2820" spans="1:2" x14ac:dyDescent="0.3">
      <c r="A2820" s="2">
        <v>45775.416666666657</v>
      </c>
      <c r="B2820">
        <f>4109.21007200135*(3/4)</f>
        <v>3081.9075540010144</v>
      </c>
    </row>
    <row r="2821" spans="1:2" x14ac:dyDescent="0.3">
      <c r="A2821" s="2">
        <v>45775.458333333343</v>
      </c>
      <c r="B2821">
        <f>3977.4705466666*(3/4)</f>
        <v>2983.1029099999478</v>
      </c>
    </row>
    <row r="2822" spans="1:2" x14ac:dyDescent="0.3">
      <c r="A2822" s="2">
        <v>45775.5</v>
      </c>
      <c r="B2822">
        <f>4397.63174912646*(3/4)</f>
        <v>3298.2238118448463</v>
      </c>
    </row>
    <row r="2823" spans="1:2" x14ac:dyDescent="0.3">
      <c r="A2823" s="2">
        <v>45775.541666666657</v>
      </c>
      <c r="B2823">
        <f>3988.89940593422*(3/4)</f>
        <v>2991.6745544506684</v>
      </c>
    </row>
    <row r="2824" spans="1:2" x14ac:dyDescent="0.3">
      <c r="A2824" s="2">
        <v>45775.583333333343</v>
      </c>
      <c r="B2824">
        <f>3797.47359394299*(3/4)</f>
        <v>2848.1051954572431</v>
      </c>
    </row>
    <row r="2825" spans="1:2" x14ac:dyDescent="0.3">
      <c r="A2825" s="2">
        <v>45775.625</v>
      </c>
      <c r="B2825">
        <f>4261.45046489565*(3/4)</f>
        <v>3196.0878486717347</v>
      </c>
    </row>
    <row r="2826" spans="1:2" x14ac:dyDescent="0.3">
      <c r="A2826" s="2">
        <v>45775.666666666657</v>
      </c>
      <c r="B2826">
        <f>4275.42214005554*(3/4)</f>
        <v>3206.5666050416548</v>
      </c>
    </row>
    <row r="2827" spans="1:2" x14ac:dyDescent="0.3">
      <c r="A2827" s="2">
        <v>45775.708333333343</v>
      </c>
      <c r="B2827">
        <f>3957.78346486961*(3/4)</f>
        <v>2968.3375986522074</v>
      </c>
    </row>
    <row r="2828" spans="1:2" x14ac:dyDescent="0.3">
      <c r="A2828" s="2">
        <v>45775.75</v>
      </c>
      <c r="B2828">
        <f>4103.93358039273*(3/4)</f>
        <v>3077.9501852945473</v>
      </c>
    </row>
    <row r="2829" spans="1:2" x14ac:dyDescent="0.3">
      <c r="A2829" s="2">
        <v>45775.791666666657</v>
      </c>
      <c r="B2829">
        <f>4309.2647211687*(3/4)</f>
        <v>3231.9485408765249</v>
      </c>
    </row>
    <row r="2830" spans="1:2" x14ac:dyDescent="0.3">
      <c r="A2830" s="2">
        <v>45775.833333333343</v>
      </c>
      <c r="B2830">
        <f>4168.51225409289*(3/4)</f>
        <v>3126.3841905696645</v>
      </c>
    </row>
    <row r="2831" spans="1:2" x14ac:dyDescent="0.3">
      <c r="A2831" s="2">
        <v>45775.875</v>
      </c>
      <c r="B2831">
        <f>4081.68479604932*(3/4)</f>
        <v>3061.2635970369884</v>
      </c>
    </row>
    <row r="2832" spans="1:2" x14ac:dyDescent="0.3">
      <c r="A2832" s="2">
        <v>45775.916666666657</v>
      </c>
      <c r="B2832">
        <f>3906.70709506864*(3/4)</f>
        <v>2930.0303213014822</v>
      </c>
    </row>
    <row r="2833" spans="1:2" x14ac:dyDescent="0.3">
      <c r="A2833" s="2">
        <v>45775.958333333343</v>
      </c>
      <c r="B2833">
        <f>3810.51353050482*(3/4)</f>
        <v>2857.885147878616</v>
      </c>
    </row>
    <row r="2834" spans="1:2" x14ac:dyDescent="0.3">
      <c r="A2834" s="2">
        <v>45776</v>
      </c>
      <c r="B2834">
        <f>3751.80561969561*(3/4)</f>
        <v>2813.8542147717053</v>
      </c>
    </row>
    <row r="2835" spans="1:2" x14ac:dyDescent="0.3">
      <c r="A2835" s="2">
        <v>45776.041666666657</v>
      </c>
      <c r="B2835">
        <f>4187.01141486634*(3/4)</f>
        <v>3140.2585611497525</v>
      </c>
    </row>
    <row r="2836" spans="1:2" x14ac:dyDescent="0.3">
      <c r="A2836" s="2">
        <v>45776.083333333343</v>
      </c>
      <c r="B2836">
        <f>3855.85447635321*(3/4)</f>
        <v>2891.8908572649111</v>
      </c>
    </row>
    <row r="2837" spans="1:2" x14ac:dyDescent="0.3">
      <c r="A2837" s="2">
        <v>45776.125</v>
      </c>
      <c r="B2837">
        <f>3786.0369282702*(3/4)</f>
        <v>2839.5276962026492</v>
      </c>
    </row>
    <row r="2838" spans="1:2" x14ac:dyDescent="0.3">
      <c r="A2838" s="2">
        <v>45776.166666666657</v>
      </c>
      <c r="B2838">
        <f>3923.66644475169*(3/4)</f>
        <v>2942.7498335637647</v>
      </c>
    </row>
    <row r="2839" spans="1:2" x14ac:dyDescent="0.3">
      <c r="A2839" s="2">
        <v>45776.208333333343</v>
      </c>
      <c r="B2839">
        <f>3999.21251522887*(3/4)</f>
        <v>2999.4093864216525</v>
      </c>
    </row>
    <row r="2840" spans="1:2" x14ac:dyDescent="0.3">
      <c r="A2840" s="2">
        <v>45776.25</v>
      </c>
      <c r="B2840">
        <f>3919.46510870884*(3/4)</f>
        <v>2939.5988315316308</v>
      </c>
    </row>
    <row r="2841" spans="1:2" x14ac:dyDescent="0.3">
      <c r="A2841" s="2">
        <v>45776.291666666657</v>
      </c>
      <c r="B2841">
        <f>4342.71218218557*(3/4)</f>
        <v>3257.0341366391795</v>
      </c>
    </row>
    <row r="2842" spans="1:2" x14ac:dyDescent="0.3">
      <c r="A2842" s="2">
        <v>45776.333333333343</v>
      </c>
      <c r="B2842">
        <f>4027.70273541174*(3/4)</f>
        <v>3020.7770515588045</v>
      </c>
    </row>
    <row r="2843" spans="1:2" x14ac:dyDescent="0.3">
      <c r="A2843" s="2">
        <v>45776.375</v>
      </c>
      <c r="B2843">
        <f>4377.51718430731*(3/4)</f>
        <v>3283.1378882304834</v>
      </c>
    </row>
    <row r="2844" spans="1:2" x14ac:dyDescent="0.3">
      <c r="A2844" s="2">
        <v>45776.416666666657</v>
      </c>
      <c r="B2844">
        <f>4183.65329929268*(3/4)</f>
        <v>3137.7399744695094</v>
      </c>
    </row>
    <row r="2845" spans="1:2" x14ac:dyDescent="0.3">
      <c r="A2845" s="2">
        <v>45776.458333333343</v>
      </c>
      <c r="B2845">
        <f>4275.51342807082*(3/4)</f>
        <v>3206.6350710531128</v>
      </c>
    </row>
    <row r="2846" spans="1:2" x14ac:dyDescent="0.3">
      <c r="A2846" s="2">
        <v>45776.5</v>
      </c>
      <c r="B2846">
        <f>3992.78193749707*(3/4)</f>
        <v>2994.5864531228012</v>
      </c>
    </row>
    <row r="2847" spans="1:2" x14ac:dyDescent="0.3">
      <c r="A2847" s="2">
        <v>45776.541666666657</v>
      </c>
      <c r="B2847">
        <f>4389.18134289548*(3/4)</f>
        <v>3291.886007171609</v>
      </c>
    </row>
    <row r="2848" spans="1:2" x14ac:dyDescent="0.3">
      <c r="A2848" s="2">
        <v>45776.583333333343</v>
      </c>
      <c r="B2848">
        <f>3912.03043419778*(3/4)</f>
        <v>2934.0228256483319</v>
      </c>
    </row>
    <row r="2849" spans="1:2" x14ac:dyDescent="0.3">
      <c r="A2849" s="2">
        <v>45776.625</v>
      </c>
      <c r="B2849">
        <f>3833.14418924269*(3/4)</f>
        <v>2874.8581419320158</v>
      </c>
    </row>
    <row r="2850" spans="1:2" x14ac:dyDescent="0.3">
      <c r="A2850" s="2">
        <v>45776.666666666657</v>
      </c>
      <c r="B2850">
        <f>4244.97860626349*(3/4)</f>
        <v>3183.7339546976177</v>
      </c>
    </row>
    <row r="2851" spans="1:2" x14ac:dyDescent="0.3">
      <c r="A2851" s="2">
        <v>45776.708333333343</v>
      </c>
      <c r="B2851">
        <f>3853.47740640424*(3/4)</f>
        <v>2890.10805480318</v>
      </c>
    </row>
    <row r="2852" spans="1:2" x14ac:dyDescent="0.3">
      <c r="A2852" s="2">
        <v>45776.75</v>
      </c>
      <c r="B2852">
        <f>4085.22827421877*(3/4)</f>
        <v>3063.9212056640754</v>
      </c>
    </row>
    <row r="2853" spans="1:2" x14ac:dyDescent="0.3">
      <c r="A2853" s="2">
        <v>45776.791666666657</v>
      </c>
      <c r="B2853">
        <f>4139.69236075685*(3/4)</f>
        <v>3104.7692705676391</v>
      </c>
    </row>
    <row r="2854" spans="1:2" x14ac:dyDescent="0.3">
      <c r="A2854" s="2">
        <v>45776.833333333343</v>
      </c>
      <c r="B2854">
        <f>4302.19982742794*(3/4)</f>
        <v>3226.6498705709573</v>
      </c>
    </row>
    <row r="2855" spans="1:2" x14ac:dyDescent="0.3">
      <c r="A2855" s="2">
        <v>45776.875</v>
      </c>
      <c r="B2855">
        <f>4008.74308554441*(3/4)</f>
        <v>3006.5573141583113</v>
      </c>
    </row>
    <row r="2856" spans="1:2" x14ac:dyDescent="0.3">
      <c r="A2856" s="2">
        <v>45776.916666666657</v>
      </c>
      <c r="B2856">
        <f>3727.6969434591*(3/4)</f>
        <v>2795.7727075943221</v>
      </c>
    </row>
    <row r="2857" spans="1:2" x14ac:dyDescent="0.3">
      <c r="A2857" s="2">
        <v>45776.958333333343</v>
      </c>
      <c r="B2857">
        <f>4014.15082599698*(3/4)</f>
        <v>3010.613119497732</v>
      </c>
    </row>
    <row r="2858" spans="1:2" x14ac:dyDescent="0.3">
      <c r="A2858" s="2">
        <v>45777</v>
      </c>
      <c r="B2858">
        <f>3949.58802786127*(3/4)</f>
        <v>2962.1910208959494</v>
      </c>
    </row>
    <row r="2859" spans="1:2" x14ac:dyDescent="0.3">
      <c r="A2859" s="2">
        <v>45777.041666666657</v>
      </c>
      <c r="B2859">
        <f>3816.67690860051*(3/4)</f>
        <v>2862.5076814503791</v>
      </c>
    </row>
    <row r="2860" spans="1:2" x14ac:dyDescent="0.3">
      <c r="A2860" s="2">
        <v>45777.083333333343</v>
      </c>
      <c r="B2860">
        <f>3674.85143412058*(3/4)</f>
        <v>2756.1385755904344</v>
      </c>
    </row>
    <row r="2861" spans="1:2" x14ac:dyDescent="0.3">
      <c r="A2861" s="2">
        <v>45777.125</v>
      </c>
      <c r="B2861">
        <f>4172.76865834441*(3/4)</f>
        <v>3129.5764937583072</v>
      </c>
    </row>
    <row r="2862" spans="1:2" x14ac:dyDescent="0.3">
      <c r="A2862" s="2">
        <v>45777.166666666657</v>
      </c>
      <c r="B2862">
        <f>4101.748384974*(3/4)</f>
        <v>3076.3112887305001</v>
      </c>
    </row>
    <row r="2863" spans="1:2" x14ac:dyDescent="0.3">
      <c r="A2863" s="2">
        <v>45777.208333333343</v>
      </c>
      <c r="B2863">
        <f>3708.13199959437*(3/4)</f>
        <v>2781.0989996957742</v>
      </c>
    </row>
    <row r="2864" spans="1:2" x14ac:dyDescent="0.3">
      <c r="A2864" s="2">
        <v>45777.25</v>
      </c>
      <c r="B2864">
        <f>3889.4474394473*(3/4)</f>
        <v>2917.085579585475</v>
      </c>
    </row>
    <row r="2865" spans="1:2" x14ac:dyDescent="0.3">
      <c r="A2865" s="2">
        <v>45777.291666666657</v>
      </c>
      <c r="B2865">
        <f>4354.60907112298*(3/4)</f>
        <v>3265.9568033422315</v>
      </c>
    </row>
    <row r="2866" spans="1:2" x14ac:dyDescent="0.3">
      <c r="A2866" s="2">
        <v>45777.333333333343</v>
      </c>
      <c r="B2866">
        <f>4459.71758421028*(3/4)</f>
        <v>3344.7881881577086</v>
      </c>
    </row>
    <row r="2867" spans="1:2" x14ac:dyDescent="0.3">
      <c r="A2867" s="2">
        <v>45777.375</v>
      </c>
      <c r="B2867">
        <f>4030.28728842608*(3/4)</f>
        <v>3022.7154663195579</v>
      </c>
    </row>
    <row r="2868" spans="1:2" x14ac:dyDescent="0.3">
      <c r="A2868" s="2">
        <v>45777.416666666657</v>
      </c>
      <c r="B2868">
        <f>3868.28101376553*(3/4)</f>
        <v>2901.2107603241438</v>
      </c>
    </row>
    <row r="2869" spans="1:2" x14ac:dyDescent="0.3">
      <c r="A2869" s="2">
        <v>45777.458333333343</v>
      </c>
      <c r="B2869">
        <f>4236.34082980181*(3/4)</f>
        <v>3177.2556223513575</v>
      </c>
    </row>
    <row r="2870" spans="1:2" x14ac:dyDescent="0.3">
      <c r="A2870" s="2">
        <v>45777.5</v>
      </c>
      <c r="B2870">
        <f>3963.08535800174*(3/4)</f>
        <v>2972.3140185013035</v>
      </c>
    </row>
    <row r="2871" spans="1:2" x14ac:dyDescent="0.3">
      <c r="A2871" s="2">
        <v>45777.541666666657</v>
      </c>
      <c r="B2871">
        <f>4063.84357101438*(3/4)</f>
        <v>3047.8826782607835</v>
      </c>
    </row>
    <row r="2872" spans="1:2" x14ac:dyDescent="0.3">
      <c r="A2872" s="2">
        <v>45777.583333333343</v>
      </c>
      <c r="B2872">
        <f>3913.42493024714*(3/4)</f>
        <v>2935.0686976853522</v>
      </c>
    </row>
    <row r="2873" spans="1:2" x14ac:dyDescent="0.3">
      <c r="A2873" s="2">
        <v>45777.625</v>
      </c>
      <c r="B2873">
        <f>4085.47190598611*(3/4)</f>
        <v>3064.1039294895836</v>
      </c>
    </row>
    <row r="2874" spans="1:2" x14ac:dyDescent="0.3">
      <c r="A2874" s="2">
        <v>45777.666666666657</v>
      </c>
      <c r="B2874">
        <f>3913.03521690375*(3/4)</f>
        <v>2934.7764126778138</v>
      </c>
    </row>
    <row r="2875" spans="1:2" x14ac:dyDescent="0.3">
      <c r="A2875" s="2">
        <v>45777.708333333343</v>
      </c>
      <c r="B2875">
        <f>4048.45535705827*(3/4)</f>
        <v>3036.3415177937009</v>
      </c>
    </row>
    <row r="2876" spans="1:2" x14ac:dyDescent="0.3">
      <c r="A2876" s="2">
        <v>45777.75</v>
      </c>
      <c r="B2876">
        <f>4140.80694633798*(3/4)</f>
        <v>3105.6052097534812</v>
      </c>
    </row>
    <row r="2877" spans="1:2" x14ac:dyDescent="0.3">
      <c r="A2877" s="2">
        <v>45777.791666666657</v>
      </c>
      <c r="B2877">
        <f>3930.93617612874*(3/4)</f>
        <v>2948.2021320965573</v>
      </c>
    </row>
    <row r="2878" spans="1:2" x14ac:dyDescent="0.3">
      <c r="A2878" s="2">
        <v>45777.833333333343</v>
      </c>
      <c r="B2878">
        <f>3762.05602160484*(3/4)</f>
        <v>2821.542016203628</v>
      </c>
    </row>
    <row r="2879" spans="1:2" x14ac:dyDescent="0.3">
      <c r="A2879" s="2">
        <v>45777.875</v>
      </c>
      <c r="B2879">
        <f>3905.14787518029*(3/4)</f>
        <v>2928.8609063852191</v>
      </c>
    </row>
    <row r="2880" spans="1:2" x14ac:dyDescent="0.3">
      <c r="A2880" s="2">
        <v>45777.916666666657</v>
      </c>
      <c r="B2880">
        <f>3850.99702101449*(3/4)</f>
        <v>2888.2477657608706</v>
      </c>
    </row>
    <row r="2881" spans="1:2" x14ac:dyDescent="0.3">
      <c r="A2881" s="2">
        <v>45777.958333333343</v>
      </c>
      <c r="B2881">
        <f>3922.58477126533*(3/4)</f>
        <v>2941.9385784489969</v>
      </c>
    </row>
    <row r="2882" spans="1:2" x14ac:dyDescent="0.3">
      <c r="A2882" s="2">
        <v>45778</v>
      </c>
      <c r="B2882">
        <f>4335.19948550074*(3/4)</f>
        <v>3251.3996141255584</v>
      </c>
    </row>
    <row r="2883" spans="1:2" x14ac:dyDescent="0.3">
      <c r="A2883" s="2">
        <v>45778.041666666657</v>
      </c>
      <c r="B2883">
        <f>4030.94462546225*(3/4)</f>
        <v>3023.208469096689</v>
      </c>
    </row>
    <row r="2884" spans="1:2" x14ac:dyDescent="0.3">
      <c r="A2884" s="2">
        <v>45778.083333333343</v>
      </c>
      <c r="B2884">
        <f>3901.00213063152*(3/4)</f>
        <v>2925.7515979736372</v>
      </c>
    </row>
    <row r="2885" spans="1:2" x14ac:dyDescent="0.3">
      <c r="A2885" s="2">
        <v>45778.125</v>
      </c>
      <c r="B2885">
        <f>4125.43485086336*(3/4)</f>
        <v>3094.0761381475236</v>
      </c>
    </row>
    <row r="2886" spans="1:2" x14ac:dyDescent="0.3">
      <c r="A2886" s="2">
        <v>45778.166666666657</v>
      </c>
      <c r="B2886">
        <f>4353.13534518957*(3/4)</f>
        <v>3264.8515088921763</v>
      </c>
    </row>
    <row r="2887" spans="1:2" x14ac:dyDescent="0.3">
      <c r="A2887" s="2">
        <v>45778.208333333343</v>
      </c>
      <c r="B2887">
        <f>3751.88804645576*(3/4)</f>
        <v>2813.9160348418195</v>
      </c>
    </row>
    <row r="2888" spans="1:2" x14ac:dyDescent="0.3">
      <c r="A2888" s="2">
        <v>45778.25</v>
      </c>
      <c r="B2888">
        <f>4097.51391132598*(3/4)</f>
        <v>3073.1354334944817</v>
      </c>
    </row>
    <row r="2889" spans="1:2" x14ac:dyDescent="0.3">
      <c r="A2889" s="2">
        <v>45778.291666666657</v>
      </c>
      <c r="B2889">
        <f>3969.85529944064*(3/4)</f>
        <v>2977.3914745804814</v>
      </c>
    </row>
    <row r="2890" spans="1:2" x14ac:dyDescent="0.3">
      <c r="A2890" s="2">
        <v>45778.333333333343</v>
      </c>
      <c r="B2890">
        <f>3969.69315216301*(3/4)</f>
        <v>2977.2698641222605</v>
      </c>
    </row>
    <row r="2891" spans="1:2" x14ac:dyDescent="0.3">
      <c r="A2891" s="2">
        <v>45778.375</v>
      </c>
      <c r="B2891">
        <f>4282.16150742906*(3/4)</f>
        <v>3211.621130571797</v>
      </c>
    </row>
    <row r="2892" spans="1:2" x14ac:dyDescent="0.3">
      <c r="A2892" s="2">
        <v>45778.416666666657</v>
      </c>
      <c r="B2892">
        <f>3768.56214587873*(3/4)</f>
        <v>2826.4216094090439</v>
      </c>
    </row>
    <row r="2893" spans="1:2" x14ac:dyDescent="0.3">
      <c r="A2893" s="2">
        <v>45778.458333333343</v>
      </c>
      <c r="B2893">
        <f>4232.04899072872*(3/4)</f>
        <v>3174.0367430465403</v>
      </c>
    </row>
    <row r="2894" spans="1:2" x14ac:dyDescent="0.3">
      <c r="A2894" s="2">
        <v>45778.5</v>
      </c>
      <c r="B2894">
        <f>3964.96144586394*(3/4)</f>
        <v>2973.7210843979547</v>
      </c>
    </row>
    <row r="2895" spans="1:2" x14ac:dyDescent="0.3">
      <c r="A2895" s="2">
        <v>45778.541666666657</v>
      </c>
      <c r="B2895">
        <f>4113.58270193021*(3/4)</f>
        <v>3085.1870264476593</v>
      </c>
    </row>
    <row r="2896" spans="1:2" x14ac:dyDescent="0.3">
      <c r="A2896" s="2">
        <v>45778.583333333343</v>
      </c>
      <c r="B2896">
        <f>3748.01163168629*(3/4)</f>
        <v>2811.008723764719</v>
      </c>
    </row>
    <row r="2897" spans="1:2" x14ac:dyDescent="0.3">
      <c r="A2897" s="2">
        <v>45778.625</v>
      </c>
      <c r="B2897">
        <f>4395.31257838227*(3/4)</f>
        <v>3296.4844337867057</v>
      </c>
    </row>
    <row r="2898" spans="1:2" x14ac:dyDescent="0.3">
      <c r="A2898" s="2">
        <v>45778.666666666657</v>
      </c>
      <c r="B2898">
        <f>3803.08420091216*(3/4)</f>
        <v>2852.3131506841182</v>
      </c>
    </row>
    <row r="2899" spans="1:2" x14ac:dyDescent="0.3">
      <c r="A2899" s="2">
        <v>45778.708333333343</v>
      </c>
      <c r="B2899">
        <f>4020.35452594974*(3/4)</f>
        <v>3015.2658944623035</v>
      </c>
    </row>
    <row r="2900" spans="1:2" x14ac:dyDescent="0.3">
      <c r="A2900" s="2">
        <v>45778.75</v>
      </c>
      <c r="B2900">
        <f>3928.53950928751*(3/4)</f>
        <v>2946.4046319656291</v>
      </c>
    </row>
    <row r="2901" spans="1:2" x14ac:dyDescent="0.3">
      <c r="A2901" s="2">
        <v>45778.791666666657</v>
      </c>
      <c r="B2901">
        <f>3939.42701394024*(3/4)</f>
        <v>2954.5702604551821</v>
      </c>
    </row>
    <row r="2902" spans="1:2" x14ac:dyDescent="0.3">
      <c r="A2902" s="2">
        <v>45778.833333333343</v>
      </c>
      <c r="B2902">
        <f>4000.3775822272*(3/4)</f>
        <v>3000.2831866704009</v>
      </c>
    </row>
    <row r="2903" spans="1:2" x14ac:dyDescent="0.3">
      <c r="A2903" s="2">
        <v>45778.875</v>
      </c>
      <c r="B2903">
        <f>4085.36985527407*(3/4)</f>
        <v>3064.027391455556</v>
      </c>
    </row>
    <row r="2904" spans="1:2" x14ac:dyDescent="0.3">
      <c r="A2904" s="2">
        <v>45778.916666666657</v>
      </c>
      <c r="B2904">
        <f>3721.76402873677*(3/4)</f>
        <v>2791.3230215525746</v>
      </c>
    </row>
    <row r="2905" spans="1:2" x14ac:dyDescent="0.3">
      <c r="A2905" s="2">
        <v>45778.958333333343</v>
      </c>
      <c r="B2905">
        <f>4053.64017900796*(3/4)</f>
        <v>3040.2301342559699</v>
      </c>
    </row>
    <row r="2906" spans="1:2" x14ac:dyDescent="0.3">
      <c r="A2906" s="2">
        <v>45779</v>
      </c>
      <c r="B2906">
        <f>4341.09502240192*(3/4)</f>
        <v>3255.8212668014426</v>
      </c>
    </row>
    <row r="2907" spans="1:2" x14ac:dyDescent="0.3">
      <c r="A2907" s="2">
        <v>45779.041666666657</v>
      </c>
      <c r="B2907">
        <f>3844.81286190877*(3/4)</f>
        <v>2883.6096464315797</v>
      </c>
    </row>
    <row r="2908" spans="1:2" x14ac:dyDescent="0.3">
      <c r="A2908" s="2">
        <v>45779.083333333343</v>
      </c>
      <c r="B2908">
        <f>4020.12444579984*(3/4)</f>
        <v>3015.0933343498764</v>
      </c>
    </row>
    <row r="2909" spans="1:2" x14ac:dyDescent="0.3">
      <c r="A2909" s="2">
        <v>45779.125</v>
      </c>
      <c r="B2909">
        <f>3724.53960132939*(3/4)</f>
        <v>2793.4047009970395</v>
      </c>
    </row>
    <row r="2910" spans="1:2" x14ac:dyDescent="0.3">
      <c r="A2910" s="2">
        <v>45779.166666666657</v>
      </c>
      <c r="B2910">
        <f>3895.48280699864*(3/4)</f>
        <v>2921.612105248983</v>
      </c>
    </row>
    <row r="2911" spans="1:2" x14ac:dyDescent="0.3">
      <c r="A2911" s="2">
        <v>45779.208333333343</v>
      </c>
      <c r="B2911">
        <f>3835.06046040118*(3/4)</f>
        <v>2876.2953453008831</v>
      </c>
    </row>
    <row r="2912" spans="1:2" x14ac:dyDescent="0.3">
      <c r="A2912" s="2">
        <v>45779.25</v>
      </c>
      <c r="B2912">
        <f>3768.31067498777*(3/4)</f>
        <v>2826.2330062408282</v>
      </c>
    </row>
    <row r="2913" spans="1:2" x14ac:dyDescent="0.3">
      <c r="A2913" s="2">
        <v>45779.291666666657</v>
      </c>
      <c r="B2913">
        <f>4267.90390059813*(3/4)</f>
        <v>3200.9279254485978</v>
      </c>
    </row>
    <row r="2914" spans="1:2" x14ac:dyDescent="0.3">
      <c r="A2914" s="2">
        <v>45779.333333333343</v>
      </c>
      <c r="B2914">
        <f>3877.94443902293*(3/4)</f>
        <v>2908.4583292672005</v>
      </c>
    </row>
    <row r="2915" spans="1:2" x14ac:dyDescent="0.3">
      <c r="A2915" s="2">
        <v>45779.375</v>
      </c>
      <c r="B2915">
        <f>3994.23333105867*(3/4)</f>
        <v>2995.6749982940032</v>
      </c>
    </row>
    <row r="2916" spans="1:2" x14ac:dyDescent="0.3">
      <c r="A2916" s="2">
        <v>45779.416666666657</v>
      </c>
      <c r="B2916">
        <f>3852.44785376273*(3/4)</f>
        <v>2889.3358903220487</v>
      </c>
    </row>
    <row r="2917" spans="1:2" x14ac:dyDescent="0.3">
      <c r="A2917" s="2">
        <v>45779.458333333343</v>
      </c>
      <c r="B2917">
        <f>4104.85891065406*(3/4)</f>
        <v>3078.6441829905471</v>
      </c>
    </row>
    <row r="2918" spans="1:2" x14ac:dyDescent="0.3">
      <c r="A2918" s="2">
        <v>45779.5</v>
      </c>
      <c r="B2918">
        <f>3827.26097233429*(3/4)</f>
        <v>2870.4457292507195</v>
      </c>
    </row>
    <row r="2919" spans="1:2" x14ac:dyDescent="0.3">
      <c r="A2919" s="2">
        <v>45779.541666666657</v>
      </c>
      <c r="B2919">
        <f>4050.61377280931*(3/4)</f>
        <v>3037.960329606984</v>
      </c>
    </row>
    <row r="2920" spans="1:2" x14ac:dyDescent="0.3">
      <c r="A2920" s="2">
        <v>45779.583333333343</v>
      </c>
      <c r="B2920">
        <f>3614.18316850383*(3/4)</f>
        <v>2710.6373763778747</v>
      </c>
    </row>
    <row r="2921" spans="1:2" x14ac:dyDescent="0.3">
      <c r="A2921" s="2">
        <v>45779.625</v>
      </c>
      <c r="B2921">
        <f>3902.05890602742*(3/4)</f>
        <v>2926.5441795205625</v>
      </c>
    </row>
    <row r="2922" spans="1:2" x14ac:dyDescent="0.3">
      <c r="A2922" s="2">
        <v>45779.666666666657</v>
      </c>
      <c r="B2922">
        <f>4091.29343549798*(3/4)</f>
        <v>3068.4700766234887</v>
      </c>
    </row>
    <row r="2923" spans="1:2" x14ac:dyDescent="0.3">
      <c r="A2923" s="2">
        <v>45779.708333333343</v>
      </c>
      <c r="B2923">
        <f>3982.55850634906*(3/4)</f>
        <v>2986.9188797617967</v>
      </c>
    </row>
    <row r="2924" spans="1:2" x14ac:dyDescent="0.3">
      <c r="A2924" s="2">
        <v>45779.75</v>
      </c>
      <c r="B2924">
        <f>4221.95210657233*(3/4)</f>
        <v>3166.4640799292465</v>
      </c>
    </row>
    <row r="2925" spans="1:2" x14ac:dyDescent="0.3">
      <c r="A2925" s="2">
        <v>45779.791666666657</v>
      </c>
      <c r="B2925">
        <f>3934.92650311087*(3/4)</f>
        <v>2951.1948773331524</v>
      </c>
    </row>
    <row r="2926" spans="1:2" x14ac:dyDescent="0.3">
      <c r="A2926" s="2">
        <v>45779.833333333343</v>
      </c>
      <c r="B2926">
        <f>4149.38005625805*(3/4)</f>
        <v>3112.0350421935345</v>
      </c>
    </row>
    <row r="2927" spans="1:2" x14ac:dyDescent="0.3">
      <c r="A2927" s="2">
        <v>45779.875</v>
      </c>
      <c r="B2927">
        <f>4019.31585464243*(3/4)</f>
        <v>3014.4868909818233</v>
      </c>
    </row>
    <row r="2928" spans="1:2" x14ac:dyDescent="0.3">
      <c r="A2928" s="2">
        <v>45779.916666666657</v>
      </c>
      <c r="B2928">
        <f>3656.15541053194*(3/4)</f>
        <v>2742.1165578989558</v>
      </c>
    </row>
    <row r="2929" spans="1:2" x14ac:dyDescent="0.3">
      <c r="A2929" s="2">
        <v>45779.958333333343</v>
      </c>
      <c r="B2929">
        <f>4191.52067147195*(3/4)</f>
        <v>3143.6405036039623</v>
      </c>
    </row>
    <row r="2930" spans="1:2" x14ac:dyDescent="0.3">
      <c r="A2930" s="2">
        <v>45780</v>
      </c>
      <c r="B2930">
        <f>4002.95232803403*(3/4)</f>
        <v>3002.214246025525</v>
      </c>
    </row>
    <row r="2931" spans="1:2" x14ac:dyDescent="0.3">
      <c r="A2931" s="2">
        <v>45780.041666666657</v>
      </c>
      <c r="B2931">
        <f>3965.06955655794*(3/4)</f>
        <v>2973.8021674184574</v>
      </c>
    </row>
    <row r="2932" spans="1:2" x14ac:dyDescent="0.3">
      <c r="A2932" s="2">
        <v>45780.083333333343</v>
      </c>
      <c r="B2932">
        <f>4077.88832011197*(3/4)</f>
        <v>3058.4162400839741</v>
      </c>
    </row>
    <row r="2933" spans="1:2" x14ac:dyDescent="0.3">
      <c r="A2933" s="2">
        <v>45780.125</v>
      </c>
      <c r="B2933">
        <f>4029.17329145212*(3/4)</f>
        <v>3021.8799685890917</v>
      </c>
    </row>
    <row r="2934" spans="1:2" x14ac:dyDescent="0.3">
      <c r="A2934" s="2">
        <v>45780.166666666657</v>
      </c>
      <c r="B2934">
        <f>4440.32266592081*(3/4)</f>
        <v>3330.2419994406046</v>
      </c>
    </row>
    <row r="2935" spans="1:2" x14ac:dyDescent="0.3">
      <c r="A2935" s="2">
        <v>45780.208333333343</v>
      </c>
      <c r="B2935">
        <f>3951.5379130179*(3/4)</f>
        <v>2963.6534347634256</v>
      </c>
    </row>
    <row r="2936" spans="1:2" x14ac:dyDescent="0.3">
      <c r="A2936" s="2">
        <v>45780.25</v>
      </c>
      <c r="B2936">
        <f>3686.15174800963*(3/4)</f>
        <v>2764.6138110072238</v>
      </c>
    </row>
    <row r="2937" spans="1:2" x14ac:dyDescent="0.3">
      <c r="A2937" s="2">
        <v>45780.291666666657</v>
      </c>
      <c r="B2937">
        <f>4083.76421181966*(3/4)</f>
        <v>3062.8231588647473</v>
      </c>
    </row>
    <row r="2938" spans="1:2" x14ac:dyDescent="0.3">
      <c r="A2938" s="2">
        <v>45780.333333333343</v>
      </c>
      <c r="B2938">
        <f>4129.01105537643*(3/4)</f>
        <v>3096.7582915323219</v>
      </c>
    </row>
    <row r="2939" spans="1:2" x14ac:dyDescent="0.3">
      <c r="A2939" s="2">
        <v>45780.375</v>
      </c>
      <c r="B2939">
        <f>4046.05824728154*(3/4)</f>
        <v>3034.5436854611567</v>
      </c>
    </row>
    <row r="2940" spans="1:2" x14ac:dyDescent="0.3">
      <c r="A2940" s="2">
        <v>45780.416666666657</v>
      </c>
      <c r="B2940">
        <f>4080.84501144132*(3/4)</f>
        <v>3060.6337585809915</v>
      </c>
    </row>
    <row r="2941" spans="1:2" x14ac:dyDescent="0.3">
      <c r="A2941" s="2">
        <v>45780.458333333343</v>
      </c>
      <c r="B2941">
        <f>4077.24449154194*(3/4)</f>
        <v>3057.9333686564582</v>
      </c>
    </row>
    <row r="2942" spans="1:2" x14ac:dyDescent="0.3">
      <c r="A2942" s="2">
        <v>45780.5</v>
      </c>
      <c r="B2942">
        <f>4166.34982997138*(3/4)</f>
        <v>3124.7623724785344</v>
      </c>
    </row>
    <row r="2943" spans="1:2" x14ac:dyDescent="0.3">
      <c r="A2943" s="2">
        <v>45780.541666666657</v>
      </c>
      <c r="B2943">
        <f>4252.02008653029*(3/4)</f>
        <v>3189.0150648977151</v>
      </c>
    </row>
    <row r="2944" spans="1:2" x14ac:dyDescent="0.3">
      <c r="A2944" s="2">
        <v>45780.583333333343</v>
      </c>
      <c r="B2944">
        <f>3687.8151946851*(3/4)</f>
        <v>2765.8613960138237</v>
      </c>
    </row>
    <row r="2945" spans="1:2" x14ac:dyDescent="0.3">
      <c r="A2945" s="2">
        <v>45780.625</v>
      </c>
      <c r="B2945">
        <f>3945.46942173225*(3/4)</f>
        <v>2959.1020662991873</v>
      </c>
    </row>
    <row r="2946" spans="1:2" x14ac:dyDescent="0.3">
      <c r="A2946" s="2">
        <v>45780.666666666657</v>
      </c>
      <c r="B2946">
        <f>4059.51467379799*(3/4)</f>
        <v>3044.6360053484955</v>
      </c>
    </row>
    <row r="2947" spans="1:2" x14ac:dyDescent="0.3">
      <c r="A2947" s="2">
        <v>45780.708333333343</v>
      </c>
      <c r="B2947">
        <f>3916.25108746647*(3/4)</f>
        <v>2937.1883155998516</v>
      </c>
    </row>
    <row r="2948" spans="1:2" x14ac:dyDescent="0.3">
      <c r="A2948" s="2">
        <v>45780.75</v>
      </c>
      <c r="B2948">
        <f>3878.2294584298*(3/4)</f>
        <v>2908.6720938223471</v>
      </c>
    </row>
    <row r="2949" spans="1:2" x14ac:dyDescent="0.3">
      <c r="A2949" s="2">
        <v>45780.791666666657</v>
      </c>
      <c r="B2949">
        <f>4122.70739584696*(3/4)</f>
        <v>3092.0305468852193</v>
      </c>
    </row>
    <row r="2950" spans="1:2" x14ac:dyDescent="0.3">
      <c r="A2950" s="2">
        <v>45780.833333333343</v>
      </c>
      <c r="B2950">
        <f>4103.99071759036*(3/4)</f>
        <v>3077.9930381927693</v>
      </c>
    </row>
    <row r="2951" spans="1:2" x14ac:dyDescent="0.3">
      <c r="A2951" s="2">
        <v>45780.875</v>
      </c>
      <c r="B2951">
        <f>4210.26209043566*(3/4)</f>
        <v>3157.6965678267443</v>
      </c>
    </row>
    <row r="2952" spans="1:2" x14ac:dyDescent="0.3">
      <c r="A2952" s="2">
        <v>45780.916666666657</v>
      </c>
      <c r="B2952">
        <f>3803.44636334372*(3/4)</f>
        <v>2852.5847725077901</v>
      </c>
    </row>
    <row r="2953" spans="1:2" x14ac:dyDescent="0.3">
      <c r="A2953" s="2">
        <v>45780.958333333343</v>
      </c>
      <c r="B2953">
        <f>3587.29943642388*(3/4)</f>
        <v>2690.474577317912</v>
      </c>
    </row>
    <row r="2954" spans="1:2" x14ac:dyDescent="0.3">
      <c r="A2954" s="2">
        <v>45781</v>
      </c>
      <c r="B2954">
        <f>4036.55767437074*(3/4)</f>
        <v>3027.4182557780541</v>
      </c>
    </row>
    <row r="2955" spans="1:2" x14ac:dyDescent="0.3">
      <c r="A2955" s="2">
        <v>45781.041666666657</v>
      </c>
      <c r="B2955">
        <f>3756.99246854243*(3/4)</f>
        <v>2817.7443514068264</v>
      </c>
    </row>
    <row r="2956" spans="1:2" x14ac:dyDescent="0.3">
      <c r="A2956" s="2">
        <v>45781.083333333343</v>
      </c>
      <c r="B2956">
        <f>4070.28243705474*(3/4)</f>
        <v>3052.7118277910522</v>
      </c>
    </row>
    <row r="2957" spans="1:2" x14ac:dyDescent="0.3">
      <c r="A2957" s="2">
        <v>45781.125</v>
      </c>
      <c r="B2957">
        <f>4051.956786494*(3/4)</f>
        <v>3038.9675898705036</v>
      </c>
    </row>
    <row r="2958" spans="1:2" x14ac:dyDescent="0.3">
      <c r="A2958" s="2">
        <v>45781.166666666657</v>
      </c>
      <c r="B2958">
        <f>3886.25639977071*(3/4)</f>
        <v>2914.6922998280347</v>
      </c>
    </row>
    <row r="2959" spans="1:2" x14ac:dyDescent="0.3">
      <c r="A2959" s="2">
        <v>45781.208333333343</v>
      </c>
      <c r="B2959">
        <f>3876.70315430429*(3/4)</f>
        <v>2907.5273657282169</v>
      </c>
    </row>
    <row r="2960" spans="1:2" x14ac:dyDescent="0.3">
      <c r="A2960" s="2">
        <v>45781.25</v>
      </c>
      <c r="B2960">
        <f>3899.37769319868*(3/4)</f>
        <v>2924.5332698990114</v>
      </c>
    </row>
    <row r="2961" spans="1:2" x14ac:dyDescent="0.3">
      <c r="A2961" s="2">
        <v>45781.291666666657</v>
      </c>
      <c r="B2961">
        <f>4234.20336285424*(3/4)</f>
        <v>3175.6525221406791</v>
      </c>
    </row>
    <row r="2962" spans="1:2" x14ac:dyDescent="0.3">
      <c r="A2962" s="2">
        <v>45781.333333333343</v>
      </c>
      <c r="B2962">
        <f>3441.19599269332*(3/4)</f>
        <v>2580.8969945199892</v>
      </c>
    </row>
    <row r="2963" spans="1:2" x14ac:dyDescent="0.3">
      <c r="A2963" s="2">
        <v>45781.375</v>
      </c>
      <c r="B2963">
        <f>3282.27289414249*(3/4)</f>
        <v>2461.7046706068645</v>
      </c>
    </row>
    <row r="2964" spans="1:2" x14ac:dyDescent="0.3">
      <c r="A2964" s="2">
        <v>45781.416666666657</v>
      </c>
      <c r="B2964">
        <f>3270.48256478065*(3/4)</f>
        <v>2452.8619235854853</v>
      </c>
    </row>
    <row r="2965" spans="1:2" x14ac:dyDescent="0.3">
      <c r="A2965" s="2">
        <v>45781.458333333343</v>
      </c>
      <c r="B2965">
        <f>3151.17142339834*(3/4)</f>
        <v>2363.3785675487534</v>
      </c>
    </row>
    <row r="2966" spans="1:2" x14ac:dyDescent="0.3">
      <c r="A2966" s="2">
        <v>45781.5</v>
      </c>
      <c r="B2966">
        <f>3296.8792721527*(3/4)</f>
        <v>2472.6594541145228</v>
      </c>
    </row>
    <row r="2967" spans="1:2" x14ac:dyDescent="0.3">
      <c r="A2967" s="2">
        <v>45781.541666666657</v>
      </c>
      <c r="B2967">
        <f>3100.6365681254*(3/4)</f>
        <v>2325.4774260940471</v>
      </c>
    </row>
    <row r="2968" spans="1:2" x14ac:dyDescent="0.3">
      <c r="A2968" s="2">
        <v>45781.583333333343</v>
      </c>
      <c r="B2968">
        <f>3072.37334635028*(3/4)</f>
        <v>2304.2800097627132</v>
      </c>
    </row>
    <row r="2969" spans="1:2" x14ac:dyDescent="0.3">
      <c r="A2969" s="2">
        <v>45781.625</v>
      </c>
      <c r="B2969">
        <f>3268.91824486738*(3/4)</f>
        <v>2451.6886836505364</v>
      </c>
    </row>
    <row r="2970" spans="1:2" x14ac:dyDescent="0.3">
      <c r="A2970" s="2">
        <v>45781.666666666657</v>
      </c>
      <c r="B2970">
        <f>2829.8378247379*(3/4)</f>
        <v>2122.3783685534213</v>
      </c>
    </row>
    <row r="2971" spans="1:2" x14ac:dyDescent="0.3">
      <c r="A2971" s="2">
        <v>45781.708333333343</v>
      </c>
      <c r="B2971">
        <f>4011.4571861631*(3/4)</f>
        <v>3008.5928896223249</v>
      </c>
    </row>
    <row r="2972" spans="1:2" x14ac:dyDescent="0.3">
      <c r="A2972" s="2">
        <v>45781.75</v>
      </c>
      <c r="B2972">
        <f>3965.73470295098*(3/4)</f>
        <v>2974.3010272132342</v>
      </c>
    </row>
    <row r="2973" spans="1:2" x14ac:dyDescent="0.3">
      <c r="A2973" s="2">
        <v>45781.791666666657</v>
      </c>
      <c r="B2973">
        <f>3920.56260238314*(3/4)</f>
        <v>2940.4219517873521</v>
      </c>
    </row>
    <row r="2974" spans="1:2" x14ac:dyDescent="0.3">
      <c r="A2974" s="2">
        <v>45781.833333333343</v>
      </c>
      <c r="B2974">
        <f>4265.53493486869*(3/4)</f>
        <v>3199.1512011515169</v>
      </c>
    </row>
    <row r="2975" spans="1:2" x14ac:dyDescent="0.3">
      <c r="A2975" s="2">
        <v>45781.875</v>
      </c>
      <c r="B2975">
        <f>3892.65943392315*(3/4)</f>
        <v>2919.4945754423602</v>
      </c>
    </row>
    <row r="2976" spans="1:2" x14ac:dyDescent="0.3">
      <c r="A2976" s="2">
        <v>45781.916666666657</v>
      </c>
      <c r="B2976">
        <f>3845.81005539442*(3/4)</f>
        <v>2884.3575415458172</v>
      </c>
    </row>
    <row r="2977" spans="1:2" x14ac:dyDescent="0.3">
      <c r="A2977" s="2">
        <v>45781.958333333343</v>
      </c>
      <c r="B2977">
        <f>3787.64401658431*(3/4)</f>
        <v>2840.7330124382338</v>
      </c>
    </row>
    <row r="2978" spans="1:2" x14ac:dyDescent="0.3">
      <c r="A2978" s="2">
        <v>45782</v>
      </c>
      <c r="B2978">
        <f>3956.91617040383*(3/4)</f>
        <v>2967.6871278028702</v>
      </c>
    </row>
    <row r="2979" spans="1:2" x14ac:dyDescent="0.3">
      <c r="A2979" s="2">
        <v>45782.041666666657</v>
      </c>
      <c r="B2979">
        <f>3955.78907227922*(3/4)</f>
        <v>2966.8418042094127</v>
      </c>
    </row>
    <row r="2980" spans="1:2" x14ac:dyDescent="0.3">
      <c r="A2980" s="2">
        <v>45782.083333333343</v>
      </c>
      <c r="B2980">
        <f>3991.43445127472*(3/4)</f>
        <v>2993.5758384560399</v>
      </c>
    </row>
    <row r="2981" spans="1:2" x14ac:dyDescent="0.3">
      <c r="A2981" s="2">
        <v>45782.125</v>
      </c>
      <c r="B2981">
        <f>3971.17093290766*(3/4)</f>
        <v>2978.3781996807465</v>
      </c>
    </row>
    <row r="2982" spans="1:2" x14ac:dyDescent="0.3">
      <c r="A2982" s="2">
        <v>45782.166666666657</v>
      </c>
      <c r="B2982">
        <f>3716.05186084108*(3/4)</f>
        <v>2787.0388956308079</v>
      </c>
    </row>
    <row r="2983" spans="1:2" x14ac:dyDescent="0.3">
      <c r="A2983" s="2">
        <v>45782.208333333343</v>
      </c>
      <c r="B2983">
        <f>3820.28123938351*(3/4)</f>
        <v>2865.2109295376354</v>
      </c>
    </row>
    <row r="2984" spans="1:2" x14ac:dyDescent="0.3">
      <c r="A2984" s="2">
        <v>45782.25</v>
      </c>
      <c r="B2984">
        <f>3680.87504033318*(3/4)</f>
        <v>2760.656280249882</v>
      </c>
    </row>
    <row r="2985" spans="1:2" x14ac:dyDescent="0.3">
      <c r="A2985" s="2">
        <v>45782.291666666657</v>
      </c>
      <c r="B2985">
        <f>4174.03600609606*(3/4)</f>
        <v>3130.5270045720486</v>
      </c>
    </row>
    <row r="2986" spans="1:2" x14ac:dyDescent="0.3">
      <c r="A2986" s="2">
        <v>45782.333333333343</v>
      </c>
      <c r="B2986">
        <f>4054.21501681348*(3/4)</f>
        <v>3040.6612626101123</v>
      </c>
    </row>
    <row r="2987" spans="1:2" x14ac:dyDescent="0.3">
      <c r="A2987" s="2">
        <v>45782.375</v>
      </c>
      <c r="B2987">
        <f>4224.26281014219*(3/4)</f>
        <v>3168.1971076066402</v>
      </c>
    </row>
    <row r="2988" spans="1:2" x14ac:dyDescent="0.3">
      <c r="A2988" s="2">
        <v>45782.416666666657</v>
      </c>
      <c r="B2988">
        <f>4276.83757906114*(3/4)</f>
        <v>3207.6281842958524</v>
      </c>
    </row>
    <row r="2989" spans="1:2" x14ac:dyDescent="0.3">
      <c r="A2989" s="2">
        <v>45782.458333333343</v>
      </c>
      <c r="B2989">
        <f>3912.83806714025*(3/4)</f>
        <v>2934.6285503551858</v>
      </c>
    </row>
    <row r="2990" spans="1:2" x14ac:dyDescent="0.3">
      <c r="A2990" s="2">
        <v>45782.5</v>
      </c>
      <c r="B2990">
        <f>3998.28452368078*(3/4)</f>
        <v>2998.7133927605878</v>
      </c>
    </row>
    <row r="2991" spans="1:2" x14ac:dyDescent="0.3">
      <c r="A2991" s="2">
        <v>45782.541666666657</v>
      </c>
      <c r="B2991">
        <f>4089.14021792606*(3/4)</f>
        <v>3066.8551634445444</v>
      </c>
    </row>
    <row r="2992" spans="1:2" x14ac:dyDescent="0.3">
      <c r="A2992" s="2">
        <v>45782.583333333343</v>
      </c>
      <c r="B2992">
        <f>3929.80597862384*(3/4)</f>
        <v>2947.3544839678771</v>
      </c>
    </row>
    <row r="2993" spans="1:2" x14ac:dyDescent="0.3">
      <c r="A2993" s="2">
        <v>45782.625</v>
      </c>
      <c r="B2993">
        <f>4214.15308428135*(3/4)</f>
        <v>3160.6148132110125</v>
      </c>
    </row>
    <row r="2994" spans="1:2" x14ac:dyDescent="0.3">
      <c r="A2994" s="2">
        <v>45782.666666666657</v>
      </c>
      <c r="B2994">
        <f>3932.11664384962*(3/4)</f>
        <v>2949.0874828872184</v>
      </c>
    </row>
    <row r="2995" spans="1:2" x14ac:dyDescent="0.3">
      <c r="A2995" s="2">
        <v>45782.708333333343</v>
      </c>
      <c r="B2995">
        <f>4246.98916386629*(3/4)</f>
        <v>3185.2418728997145</v>
      </c>
    </row>
    <row r="2996" spans="1:2" x14ac:dyDescent="0.3">
      <c r="A2996" s="2">
        <v>45782.75</v>
      </c>
      <c r="B2996">
        <f>3871.09003233302*(3/4)</f>
        <v>2903.3175242497637</v>
      </c>
    </row>
    <row r="2997" spans="1:2" x14ac:dyDescent="0.3">
      <c r="A2997" s="2">
        <v>45782.791666666657</v>
      </c>
      <c r="B2997">
        <f>4344.25860388729*(3/4)</f>
        <v>3258.1939529154688</v>
      </c>
    </row>
    <row r="2998" spans="1:2" x14ac:dyDescent="0.3">
      <c r="A2998" s="2">
        <v>45782.833333333343</v>
      </c>
      <c r="B2998">
        <f>3932.55067366635*(3/4)</f>
        <v>2949.4130052497608</v>
      </c>
    </row>
    <row r="2999" spans="1:2" x14ac:dyDescent="0.3">
      <c r="A2999" s="2">
        <v>45782.875</v>
      </c>
      <c r="B2999">
        <f>3981.01199238784*(3/4)</f>
        <v>2985.7589942908771</v>
      </c>
    </row>
    <row r="3000" spans="1:2" x14ac:dyDescent="0.3">
      <c r="A3000" s="2">
        <v>45782.916666666657</v>
      </c>
      <c r="B3000">
        <f>3818.17480211286*(3/4)</f>
        <v>2863.6311015846413</v>
      </c>
    </row>
    <row r="3001" spans="1:2" x14ac:dyDescent="0.3">
      <c r="A3001" s="2">
        <v>45782.958333333343</v>
      </c>
      <c r="B3001">
        <f>3951.99903193259*(3/4)</f>
        <v>2963.9992739494442</v>
      </c>
    </row>
    <row r="3002" spans="1:2" x14ac:dyDescent="0.3">
      <c r="A3002" s="2">
        <v>45783</v>
      </c>
      <c r="B3002">
        <f>4295.23808493561*(3/4)</f>
        <v>3221.4285637017074</v>
      </c>
    </row>
    <row r="3003" spans="1:2" x14ac:dyDescent="0.3">
      <c r="A3003" s="2">
        <v>45783.041666666657</v>
      </c>
      <c r="B3003">
        <f>3754.20691585225*(3/4)</f>
        <v>2815.6551868891897</v>
      </c>
    </row>
    <row r="3004" spans="1:2" x14ac:dyDescent="0.3">
      <c r="A3004" s="2">
        <v>45783.083333333343</v>
      </c>
      <c r="B3004">
        <f>3951.79396126941*(3/4)</f>
        <v>2963.8454709520593</v>
      </c>
    </row>
    <row r="3005" spans="1:2" x14ac:dyDescent="0.3">
      <c r="A3005" s="2">
        <v>45783.125</v>
      </c>
      <c r="B3005">
        <f>3996.28525154607*(3/4)</f>
        <v>2997.2139386595518</v>
      </c>
    </row>
    <row r="3006" spans="1:2" x14ac:dyDescent="0.3">
      <c r="A3006" s="2">
        <v>45783.166666666657</v>
      </c>
      <c r="B3006">
        <f>3816.28655188744*(3/4)</f>
        <v>2862.2149139155831</v>
      </c>
    </row>
    <row r="3007" spans="1:2" x14ac:dyDescent="0.3">
      <c r="A3007" s="2">
        <v>45783.208333333343</v>
      </c>
      <c r="B3007">
        <f>4021.07435427802*(3/4)</f>
        <v>3015.8057657085146</v>
      </c>
    </row>
    <row r="3008" spans="1:2" x14ac:dyDescent="0.3">
      <c r="A3008" s="2">
        <v>45783.25</v>
      </c>
      <c r="B3008">
        <f>3662.78383719081*(3/4)</f>
        <v>2747.0878778931074</v>
      </c>
    </row>
    <row r="3009" spans="1:2" x14ac:dyDescent="0.3">
      <c r="A3009" s="2">
        <v>45783.291666666657</v>
      </c>
      <c r="B3009">
        <f>3899.5519172085*(3/4)</f>
        <v>2924.6639379063763</v>
      </c>
    </row>
    <row r="3010" spans="1:2" x14ac:dyDescent="0.3">
      <c r="A3010" s="2">
        <v>45783.333333333343</v>
      </c>
      <c r="B3010">
        <f>4367.9526568112*(3/4)</f>
        <v>3275.964492608397</v>
      </c>
    </row>
    <row r="3011" spans="1:2" x14ac:dyDescent="0.3">
      <c r="A3011" s="2">
        <v>45783.375</v>
      </c>
      <c r="B3011">
        <f>4107.37140253456*(3/4)</f>
        <v>3080.5285519009212</v>
      </c>
    </row>
    <row r="3012" spans="1:2" x14ac:dyDescent="0.3">
      <c r="A3012" s="2">
        <v>45783.416666666657</v>
      </c>
      <c r="B3012">
        <f>3925.11351004584*(3/4)</f>
        <v>2943.8351325343824</v>
      </c>
    </row>
    <row r="3013" spans="1:2" x14ac:dyDescent="0.3">
      <c r="A3013" s="2">
        <v>45783.458333333343</v>
      </c>
      <c r="B3013">
        <f>3928.73199187381*(3/4)</f>
        <v>2946.5489939053573</v>
      </c>
    </row>
    <row r="3014" spans="1:2" x14ac:dyDescent="0.3">
      <c r="A3014" s="2">
        <v>45783.5</v>
      </c>
      <c r="B3014">
        <f>3999.96945407736*(3/4)</f>
        <v>2999.9770905580199</v>
      </c>
    </row>
    <row r="3015" spans="1:2" x14ac:dyDescent="0.3">
      <c r="A3015" s="2">
        <v>45783.541666666657</v>
      </c>
      <c r="B3015">
        <f>3811.67501150648*(3/4)</f>
        <v>2858.7562586298577</v>
      </c>
    </row>
    <row r="3016" spans="1:2" x14ac:dyDescent="0.3">
      <c r="A3016" s="2">
        <v>45783.583333333343</v>
      </c>
      <c r="B3016">
        <f>3926.68615701459*(3/4)</f>
        <v>2945.0146177609417</v>
      </c>
    </row>
    <row r="3017" spans="1:2" x14ac:dyDescent="0.3">
      <c r="A3017" s="2">
        <v>45783.625</v>
      </c>
      <c r="B3017">
        <f>4021.17640268654*(3/4)</f>
        <v>3015.882302014908</v>
      </c>
    </row>
    <row r="3018" spans="1:2" x14ac:dyDescent="0.3">
      <c r="A3018" s="2">
        <v>45783.666666666657</v>
      </c>
      <c r="B3018">
        <f>4153.08253620745*(3/4)</f>
        <v>3114.8119021555858</v>
      </c>
    </row>
    <row r="3019" spans="1:2" x14ac:dyDescent="0.3">
      <c r="A3019" s="2">
        <v>45783.708333333343</v>
      </c>
      <c r="B3019">
        <f>4093.17155107807*(3/4)</f>
        <v>3069.8786633085547</v>
      </c>
    </row>
    <row r="3020" spans="1:2" x14ac:dyDescent="0.3">
      <c r="A3020" s="2">
        <v>45783.75</v>
      </c>
      <c r="B3020">
        <f>4132.32866687698*(3/4)</f>
        <v>3099.2465001577366</v>
      </c>
    </row>
    <row r="3021" spans="1:2" x14ac:dyDescent="0.3">
      <c r="A3021" s="2">
        <v>45783.791666666657</v>
      </c>
      <c r="B3021">
        <f>3993.70535403997*(3/4)</f>
        <v>2995.2790155299754</v>
      </c>
    </row>
    <row r="3022" spans="1:2" x14ac:dyDescent="0.3">
      <c r="A3022" s="2">
        <v>45783.833333333343</v>
      </c>
      <c r="B3022">
        <f>3730.49066872543*(3/4)</f>
        <v>2797.8680015440686</v>
      </c>
    </row>
    <row r="3023" spans="1:2" x14ac:dyDescent="0.3">
      <c r="A3023" s="2">
        <v>45783.875</v>
      </c>
      <c r="B3023">
        <f>4037.15226102672*(3/4)</f>
        <v>3027.8641957700379</v>
      </c>
    </row>
    <row r="3024" spans="1:2" x14ac:dyDescent="0.3">
      <c r="A3024" s="2">
        <v>45783.916666666657</v>
      </c>
      <c r="B3024">
        <f>3663.00021765499*(3/4)</f>
        <v>2747.2501632412454</v>
      </c>
    </row>
    <row r="3025" spans="1:2" x14ac:dyDescent="0.3">
      <c r="A3025" s="2">
        <v>45783.958333333343</v>
      </c>
      <c r="B3025">
        <f>3755.17343297746*(3/4)</f>
        <v>2816.3800747330952</v>
      </c>
    </row>
    <row r="3026" spans="1:2" x14ac:dyDescent="0.3">
      <c r="A3026" s="2">
        <v>45784</v>
      </c>
      <c r="B3026">
        <f>4024.32394954675*(3/4)</f>
        <v>3018.2429621600586</v>
      </c>
    </row>
    <row r="3027" spans="1:2" x14ac:dyDescent="0.3">
      <c r="A3027" s="2">
        <v>45784.041666666657</v>
      </c>
      <c r="B3027">
        <f>4015.6213699302*(3/4)</f>
        <v>3011.71602744765</v>
      </c>
    </row>
    <row r="3028" spans="1:2" x14ac:dyDescent="0.3">
      <c r="A3028" s="2">
        <v>45784.083333333343</v>
      </c>
      <c r="B3028">
        <f>3672.50930199832*(3/4)</f>
        <v>2754.3819764987375</v>
      </c>
    </row>
    <row r="3029" spans="1:2" x14ac:dyDescent="0.3">
      <c r="A3029" s="2">
        <v>45784.125</v>
      </c>
      <c r="B3029">
        <f>4069.50115808269*(3/4)</f>
        <v>3052.1258685620141</v>
      </c>
    </row>
    <row r="3030" spans="1:2" x14ac:dyDescent="0.3">
      <c r="A3030" s="2">
        <v>45784.166666666657</v>
      </c>
      <c r="B3030">
        <f>4075.74849706093*(3/4)</f>
        <v>3056.8113727956961</v>
      </c>
    </row>
    <row r="3031" spans="1:2" x14ac:dyDescent="0.3">
      <c r="A3031" s="2">
        <v>45784.208333333343</v>
      </c>
      <c r="B3031">
        <f>3683.63110652567*(3/4)</f>
        <v>2762.7233298942492</v>
      </c>
    </row>
    <row r="3032" spans="1:2" x14ac:dyDescent="0.3">
      <c r="A3032" s="2">
        <v>45784.25</v>
      </c>
      <c r="B3032">
        <f>3877.70307947004*(3/4)</f>
        <v>2908.2773096025307</v>
      </c>
    </row>
    <row r="3033" spans="1:2" x14ac:dyDescent="0.3">
      <c r="A3033" s="2">
        <v>45784.291666666657</v>
      </c>
      <c r="B3033">
        <f>4209.19649020346*(3/4)</f>
        <v>3156.8973676525957</v>
      </c>
    </row>
    <row r="3034" spans="1:2" x14ac:dyDescent="0.3">
      <c r="A3034" s="2">
        <v>45784.333333333343</v>
      </c>
      <c r="B3034">
        <f>3809.92678899303*(3/4)</f>
        <v>2857.4450917447689</v>
      </c>
    </row>
    <row r="3035" spans="1:2" x14ac:dyDescent="0.3">
      <c r="A3035" s="2">
        <v>45784.375</v>
      </c>
      <c r="B3035">
        <f>3820.07207761647*(3/4)</f>
        <v>2865.0540582123522</v>
      </c>
    </row>
    <row r="3036" spans="1:2" x14ac:dyDescent="0.3">
      <c r="A3036" s="2">
        <v>45784.416666666657</v>
      </c>
      <c r="B3036">
        <f>3822.29558296278*(3/4)</f>
        <v>2866.7216872220843</v>
      </c>
    </row>
    <row r="3037" spans="1:2" x14ac:dyDescent="0.3">
      <c r="A3037" s="2">
        <v>45784.458333333343</v>
      </c>
      <c r="B3037">
        <f>4195.11544107689*(3/4)</f>
        <v>3146.3365808076665</v>
      </c>
    </row>
    <row r="3038" spans="1:2" x14ac:dyDescent="0.3">
      <c r="A3038" s="2">
        <v>45784.5</v>
      </c>
      <c r="B3038">
        <f>4313.7694483459*(3/4)</f>
        <v>3235.327086259425</v>
      </c>
    </row>
    <row r="3039" spans="1:2" x14ac:dyDescent="0.3">
      <c r="A3039" s="2">
        <v>45784.541666666657</v>
      </c>
      <c r="B3039">
        <f>4047.90686095751*(3/4)</f>
        <v>3035.9301457181355</v>
      </c>
    </row>
    <row r="3040" spans="1:2" x14ac:dyDescent="0.3">
      <c r="A3040" s="2">
        <v>45784.583333333343</v>
      </c>
      <c r="B3040">
        <f>3554.43370272346*(3/4)</f>
        <v>2665.8252770425934</v>
      </c>
    </row>
    <row r="3041" spans="1:2" x14ac:dyDescent="0.3">
      <c r="A3041" s="2">
        <v>45784.625</v>
      </c>
      <c r="B3041">
        <f>3999.43013207146*(3/4)</f>
        <v>2999.5725990535948</v>
      </c>
    </row>
    <row r="3042" spans="1:2" x14ac:dyDescent="0.3">
      <c r="A3042" s="2">
        <v>45784.666666666657</v>
      </c>
      <c r="B3042">
        <f>3808.81252209063*(3/4)</f>
        <v>2856.6093915679726</v>
      </c>
    </row>
    <row r="3043" spans="1:2" x14ac:dyDescent="0.3">
      <c r="A3043" s="2">
        <v>45784.708333333343</v>
      </c>
      <c r="B3043">
        <f>4258.07457490424*(3/4)</f>
        <v>3193.5559311781813</v>
      </c>
    </row>
    <row r="3044" spans="1:2" x14ac:dyDescent="0.3">
      <c r="A3044" s="2">
        <v>45784.75</v>
      </c>
      <c r="B3044">
        <f>4223.13267991802*(3/4)</f>
        <v>3167.3495099385154</v>
      </c>
    </row>
    <row r="3045" spans="1:2" x14ac:dyDescent="0.3">
      <c r="A3045" s="2">
        <v>45784.791666666657</v>
      </c>
      <c r="B3045">
        <f>3999.83964998716*(3/4)</f>
        <v>2999.8797374903693</v>
      </c>
    </row>
    <row r="3046" spans="1:2" x14ac:dyDescent="0.3">
      <c r="A3046" s="2">
        <v>45784.833333333343</v>
      </c>
      <c r="B3046">
        <f>4328.9280860201*(3/4)</f>
        <v>3246.696064515073</v>
      </c>
    </row>
    <row r="3047" spans="1:2" x14ac:dyDescent="0.3">
      <c r="A3047" s="2">
        <v>45784.875</v>
      </c>
      <c r="B3047">
        <f>4218.95389812089*(3/4)</f>
        <v>3164.2154235906646</v>
      </c>
    </row>
    <row r="3048" spans="1:2" x14ac:dyDescent="0.3">
      <c r="A3048" s="2">
        <v>45784.916666666657</v>
      </c>
      <c r="B3048">
        <f>3976.79094071539*(3/4)</f>
        <v>2982.5932055365402</v>
      </c>
    </row>
    <row r="3049" spans="1:2" x14ac:dyDescent="0.3">
      <c r="A3049" s="2">
        <v>45784.958333333343</v>
      </c>
      <c r="B3049">
        <f>4030.89373682616*(3/4)</f>
        <v>3023.1703026196205</v>
      </c>
    </row>
    <row r="3050" spans="1:2" x14ac:dyDescent="0.3">
      <c r="A3050" s="2">
        <v>45785</v>
      </c>
      <c r="B3050">
        <f>3885.11574419957*(3/4)</f>
        <v>2913.8368081496797</v>
      </c>
    </row>
    <row r="3051" spans="1:2" x14ac:dyDescent="0.3">
      <c r="A3051" s="2">
        <v>45785.041666666657</v>
      </c>
      <c r="B3051">
        <f>4076.31778101731*(3/4)</f>
        <v>3057.2383357629833</v>
      </c>
    </row>
    <row r="3052" spans="1:2" x14ac:dyDescent="0.3">
      <c r="A3052" s="2">
        <v>45785.083333333343</v>
      </c>
      <c r="B3052">
        <f>4125.81219676015*(3/4)</f>
        <v>3094.3591475701105</v>
      </c>
    </row>
    <row r="3053" spans="1:2" x14ac:dyDescent="0.3">
      <c r="A3053" s="2">
        <v>45785.125</v>
      </c>
      <c r="B3053">
        <f>4162.85009632809*(3/4)</f>
        <v>3122.1375722460643</v>
      </c>
    </row>
    <row r="3054" spans="1:2" x14ac:dyDescent="0.3">
      <c r="A3054" s="2">
        <v>45785.166666666657</v>
      </c>
      <c r="B3054">
        <f>4065.77563374573*(3/4)</f>
        <v>3049.3317253092969</v>
      </c>
    </row>
    <row r="3055" spans="1:2" x14ac:dyDescent="0.3">
      <c r="A3055" s="2">
        <v>45785.208333333343</v>
      </c>
      <c r="B3055">
        <f>3857.41251870664*(3/4)</f>
        <v>2893.0593890299783</v>
      </c>
    </row>
    <row r="3056" spans="1:2" x14ac:dyDescent="0.3">
      <c r="A3056" s="2">
        <v>45785.25</v>
      </c>
      <c r="B3056">
        <f>3755.02217875074*(3/4)</f>
        <v>2816.2666340630572</v>
      </c>
    </row>
    <row r="3057" spans="1:2" x14ac:dyDescent="0.3">
      <c r="A3057" s="2">
        <v>45785.291666666657</v>
      </c>
      <c r="B3057">
        <f>4227.73437364713*(3/4)</f>
        <v>3170.8007802353513</v>
      </c>
    </row>
    <row r="3058" spans="1:2" x14ac:dyDescent="0.3">
      <c r="A3058" s="2">
        <v>45785.333333333343</v>
      </c>
      <c r="B3058">
        <f>4367.10899953911*(3/4)</f>
        <v>3275.3317496543323</v>
      </c>
    </row>
    <row r="3059" spans="1:2" x14ac:dyDescent="0.3">
      <c r="A3059" s="2">
        <v>45785.375</v>
      </c>
      <c r="B3059">
        <f>3892.43695208893*(3/4)</f>
        <v>2919.3277140666987</v>
      </c>
    </row>
    <row r="3060" spans="1:2" x14ac:dyDescent="0.3">
      <c r="A3060" s="2">
        <v>45785.416666666657</v>
      </c>
      <c r="B3060">
        <f>4155.10408007134*(3/4)</f>
        <v>3116.3280600535063</v>
      </c>
    </row>
    <row r="3061" spans="1:2" x14ac:dyDescent="0.3">
      <c r="A3061" s="2">
        <v>45785.458333333343</v>
      </c>
      <c r="B3061">
        <f>4248.83698324315*(3/4)</f>
        <v>3186.6277374323599</v>
      </c>
    </row>
    <row r="3062" spans="1:2" x14ac:dyDescent="0.3">
      <c r="A3062" s="2">
        <v>45785.5</v>
      </c>
      <c r="B3062">
        <f>4001.87567759175*(3/4)</f>
        <v>3001.4067581938148</v>
      </c>
    </row>
    <row r="3063" spans="1:2" x14ac:dyDescent="0.3">
      <c r="A3063" s="2">
        <v>45785.541666666657</v>
      </c>
      <c r="B3063">
        <f>3955.32397342991*(3/4)</f>
        <v>2966.4929800724349</v>
      </c>
    </row>
    <row r="3064" spans="1:2" x14ac:dyDescent="0.3">
      <c r="A3064" s="2">
        <v>45785.583333333343</v>
      </c>
      <c r="B3064">
        <f>3773.39116169253*(3/4)</f>
        <v>2830.0433712693957</v>
      </c>
    </row>
    <row r="3065" spans="1:2" x14ac:dyDescent="0.3">
      <c r="A3065" s="2">
        <v>45785.625</v>
      </c>
      <c r="B3065">
        <f>4067.78302493393*(3/4)</f>
        <v>3050.8372687004444</v>
      </c>
    </row>
    <row r="3066" spans="1:2" x14ac:dyDescent="0.3">
      <c r="A3066" s="2">
        <v>45785.666666666657</v>
      </c>
      <c r="B3066">
        <f>4143.46118568772*(3/4)</f>
        <v>3107.5958892657864</v>
      </c>
    </row>
    <row r="3067" spans="1:2" x14ac:dyDescent="0.3">
      <c r="A3067" s="2">
        <v>45785.708333333343</v>
      </c>
      <c r="B3067">
        <f>3975.50268986679*(3/4)</f>
        <v>2981.6270174000933</v>
      </c>
    </row>
    <row r="3068" spans="1:2" x14ac:dyDescent="0.3">
      <c r="A3068" s="2">
        <v>45785.75</v>
      </c>
      <c r="B3068">
        <f>4035.18887738208*(3/4)</f>
        <v>3026.3916580365612</v>
      </c>
    </row>
    <row r="3069" spans="1:2" x14ac:dyDescent="0.3">
      <c r="A3069" s="2">
        <v>45785.791666666657</v>
      </c>
      <c r="B3069">
        <f>4105.49937564505*(3/4)</f>
        <v>3079.1245317337889</v>
      </c>
    </row>
    <row r="3070" spans="1:2" x14ac:dyDescent="0.3">
      <c r="A3070" s="2">
        <v>45785.833333333343</v>
      </c>
      <c r="B3070">
        <f>4257.12803015555*(3/4)</f>
        <v>3192.8460226166608</v>
      </c>
    </row>
    <row r="3071" spans="1:2" x14ac:dyDescent="0.3">
      <c r="A3071" s="2">
        <v>45785.875</v>
      </c>
      <c r="B3071">
        <f>3933.52064032249*(3/4)</f>
        <v>2950.1404802418697</v>
      </c>
    </row>
    <row r="3072" spans="1:2" x14ac:dyDescent="0.3">
      <c r="A3072" s="2">
        <v>45785.916666666657</v>
      </c>
      <c r="B3072">
        <f>3576.70406138764*(3/4)</f>
        <v>2682.5280460407316</v>
      </c>
    </row>
    <row r="3073" spans="1:2" x14ac:dyDescent="0.3">
      <c r="A3073" s="2">
        <v>45785.958333333343</v>
      </c>
      <c r="B3073">
        <f>3974.41434500817*(3/4)</f>
        <v>2980.8107587561258</v>
      </c>
    </row>
    <row r="3074" spans="1:2" x14ac:dyDescent="0.3">
      <c r="A3074" s="2">
        <v>45786</v>
      </c>
      <c r="B3074">
        <f>4163.63956401355*(3/4)</f>
        <v>3122.7296730101598</v>
      </c>
    </row>
    <row r="3075" spans="1:2" x14ac:dyDescent="0.3">
      <c r="A3075" s="2">
        <v>45786.041666666657</v>
      </c>
      <c r="B3075">
        <f>3982.20460470961*(3/4)</f>
        <v>2986.6534535322107</v>
      </c>
    </row>
    <row r="3076" spans="1:2" x14ac:dyDescent="0.3">
      <c r="A3076" s="2">
        <v>45786.083333333343</v>
      </c>
      <c r="B3076">
        <f>3899.36736495128*(3/4)</f>
        <v>2924.5255237134606</v>
      </c>
    </row>
    <row r="3077" spans="1:2" x14ac:dyDescent="0.3">
      <c r="A3077" s="2">
        <v>45786.125</v>
      </c>
      <c r="B3077">
        <f>3870.07159602452*(3/4)</f>
        <v>2902.5536970183866</v>
      </c>
    </row>
    <row r="3078" spans="1:2" x14ac:dyDescent="0.3">
      <c r="A3078" s="2">
        <v>45786.166666666657</v>
      </c>
      <c r="B3078">
        <f>3607.08226449231*(3/4)</f>
        <v>2705.3116983692339</v>
      </c>
    </row>
    <row r="3079" spans="1:2" x14ac:dyDescent="0.3">
      <c r="A3079" s="2">
        <v>45786.208333333343</v>
      </c>
      <c r="B3079">
        <f>4022.48928417421*(3/4)</f>
        <v>3016.8669631306593</v>
      </c>
    </row>
    <row r="3080" spans="1:2" x14ac:dyDescent="0.3">
      <c r="A3080" s="2">
        <v>45786.25</v>
      </c>
      <c r="B3080">
        <f>3593.40098488982*(3/4)</f>
        <v>2695.0507386673648</v>
      </c>
    </row>
    <row r="3081" spans="1:2" x14ac:dyDescent="0.3">
      <c r="A3081" s="2">
        <v>45786.291666666657</v>
      </c>
      <c r="B3081">
        <f>3965.15299410688*(3/4)</f>
        <v>2973.864745580157</v>
      </c>
    </row>
    <row r="3082" spans="1:2" x14ac:dyDescent="0.3">
      <c r="A3082" s="2">
        <v>45786.333333333343</v>
      </c>
      <c r="B3082">
        <f>4254.0576534552*(3/4)</f>
        <v>3190.5432400913969</v>
      </c>
    </row>
    <row r="3083" spans="1:2" x14ac:dyDescent="0.3">
      <c r="A3083" s="2">
        <v>45786.375</v>
      </c>
      <c r="B3083">
        <f>4132.64123234473*(3/4)</f>
        <v>3099.4809242585484</v>
      </c>
    </row>
    <row r="3084" spans="1:2" x14ac:dyDescent="0.3">
      <c r="A3084" s="2">
        <v>45786.416666666657</v>
      </c>
      <c r="B3084">
        <f>3936.48270916542*(3/4)</f>
        <v>2952.362031874065</v>
      </c>
    </row>
    <row r="3085" spans="1:2" x14ac:dyDescent="0.3">
      <c r="A3085" s="2">
        <v>45786.458333333343</v>
      </c>
      <c r="B3085">
        <f>3969.14990600695*(3/4)</f>
        <v>2976.8624295052118</v>
      </c>
    </row>
    <row r="3086" spans="1:2" x14ac:dyDescent="0.3">
      <c r="A3086" s="2">
        <v>45786.5</v>
      </c>
      <c r="B3086">
        <f>3889.25764331082*(3/4)</f>
        <v>2916.9432324831128</v>
      </c>
    </row>
    <row r="3087" spans="1:2" x14ac:dyDescent="0.3">
      <c r="A3087" s="2">
        <v>45786.541666666657</v>
      </c>
      <c r="B3087">
        <f>3793.05518050481*(3/4)</f>
        <v>2844.7913853786054</v>
      </c>
    </row>
    <row r="3088" spans="1:2" x14ac:dyDescent="0.3">
      <c r="A3088" s="2">
        <v>45786.583333333343</v>
      </c>
      <c r="B3088">
        <f>3843.90465551027*(3/4)</f>
        <v>2882.9284916327056</v>
      </c>
    </row>
    <row r="3089" spans="1:2" x14ac:dyDescent="0.3">
      <c r="A3089" s="2">
        <v>45786.625</v>
      </c>
      <c r="B3089">
        <f>3911.59301731116*(3/4)</f>
        <v>2933.6947629833671</v>
      </c>
    </row>
    <row r="3090" spans="1:2" x14ac:dyDescent="0.3">
      <c r="A3090" s="2">
        <v>45786.666666666657</v>
      </c>
      <c r="B3090">
        <f>4265.3203111611*(3/4)</f>
        <v>3198.9902333708264</v>
      </c>
    </row>
    <row r="3091" spans="1:2" x14ac:dyDescent="0.3">
      <c r="A3091" s="2">
        <v>45786.708333333343</v>
      </c>
      <c r="B3091">
        <f>3832.52735177591*(3/4)</f>
        <v>2874.3955138319357</v>
      </c>
    </row>
    <row r="3092" spans="1:2" x14ac:dyDescent="0.3">
      <c r="A3092" s="2">
        <v>45786.75</v>
      </c>
      <c r="B3092">
        <f>3916.50530576729*(3/4)</f>
        <v>2937.3789793254673</v>
      </c>
    </row>
    <row r="3093" spans="1:2" x14ac:dyDescent="0.3">
      <c r="A3093" s="2">
        <v>45786.791666666657</v>
      </c>
      <c r="B3093">
        <f>3924.26854015864*(3/4)</f>
        <v>2943.2014051189813</v>
      </c>
    </row>
    <row r="3094" spans="1:2" x14ac:dyDescent="0.3">
      <c r="A3094" s="2">
        <v>45786.833333333343</v>
      </c>
      <c r="B3094">
        <f>4295.39757291685*(3/4)</f>
        <v>3221.5481796876379</v>
      </c>
    </row>
    <row r="3095" spans="1:2" x14ac:dyDescent="0.3">
      <c r="A3095" s="2">
        <v>45786.875</v>
      </c>
      <c r="B3095">
        <f>4031.49919880291*(3/4)</f>
        <v>3023.6243991021811</v>
      </c>
    </row>
    <row r="3096" spans="1:2" x14ac:dyDescent="0.3">
      <c r="A3096" s="2">
        <v>45786.916666666657</v>
      </c>
      <c r="B3096">
        <f>3725.10422886429*(3/4)</f>
        <v>2793.8281716482197</v>
      </c>
    </row>
    <row r="3097" spans="1:2" x14ac:dyDescent="0.3">
      <c r="A3097" s="2">
        <v>45786.958333333343</v>
      </c>
      <c r="B3097">
        <f>3907.71911190642*(3/4)</f>
        <v>2930.7893339298112</v>
      </c>
    </row>
    <row r="3098" spans="1:2" x14ac:dyDescent="0.3">
      <c r="A3098" s="2">
        <v>45787</v>
      </c>
      <c r="B3098">
        <f>3804.29161074697*(3/4)</f>
        <v>2853.2187080602307</v>
      </c>
    </row>
    <row r="3099" spans="1:2" x14ac:dyDescent="0.3">
      <c r="A3099" s="2">
        <v>45787.041666666657</v>
      </c>
      <c r="B3099">
        <f>4019.69268769607*(3/4)</f>
        <v>3014.7695157720518</v>
      </c>
    </row>
    <row r="3100" spans="1:2" x14ac:dyDescent="0.3">
      <c r="A3100" s="2">
        <v>45787.083333333343</v>
      </c>
      <c r="B3100">
        <f>3842.99345997263*(3/4)</f>
        <v>2882.2450949794734</v>
      </c>
    </row>
    <row r="3101" spans="1:2" x14ac:dyDescent="0.3">
      <c r="A3101" s="2">
        <v>45787.125</v>
      </c>
      <c r="B3101">
        <f>3953.19764294522*(3/4)</f>
        <v>2964.8982322089114</v>
      </c>
    </row>
    <row r="3102" spans="1:2" x14ac:dyDescent="0.3">
      <c r="A3102" s="2">
        <v>45787.166666666657</v>
      </c>
      <c r="B3102">
        <f>3882.06878126319*(3/4)</f>
        <v>2911.5515859473917</v>
      </c>
    </row>
    <row r="3103" spans="1:2" x14ac:dyDescent="0.3">
      <c r="A3103" s="2">
        <v>45787.208333333343</v>
      </c>
      <c r="B3103">
        <f>3924.54216365911*(3/4)</f>
        <v>2943.4066227443336</v>
      </c>
    </row>
    <row r="3104" spans="1:2" x14ac:dyDescent="0.3">
      <c r="A3104" s="2">
        <v>45787.25</v>
      </c>
      <c r="B3104">
        <f>3982.12824740807*(3/4)</f>
        <v>2986.5961855560531</v>
      </c>
    </row>
    <row r="3105" spans="1:2" x14ac:dyDescent="0.3">
      <c r="A3105" s="2">
        <v>45787.291666666657</v>
      </c>
      <c r="B3105">
        <f>4268.35730353111*(3/4)</f>
        <v>3201.2679776483328</v>
      </c>
    </row>
    <row r="3106" spans="1:2" x14ac:dyDescent="0.3">
      <c r="A3106" s="2">
        <v>45787.333333333343</v>
      </c>
      <c r="B3106">
        <f>4148.2649426252*(3/4)</f>
        <v>3111.1987069689035</v>
      </c>
    </row>
    <row r="3107" spans="1:2" x14ac:dyDescent="0.3">
      <c r="A3107" s="2">
        <v>45787.375</v>
      </c>
      <c r="B3107">
        <f>4205.74225267624*(3/4)</f>
        <v>3154.3066895071802</v>
      </c>
    </row>
    <row r="3108" spans="1:2" x14ac:dyDescent="0.3">
      <c r="A3108" s="2">
        <v>45787.416666666657</v>
      </c>
      <c r="B3108">
        <f>3994.81028342309*(3/4)</f>
        <v>2996.1077125673173</v>
      </c>
    </row>
    <row r="3109" spans="1:2" x14ac:dyDescent="0.3">
      <c r="A3109" s="2">
        <v>45787.458333333343</v>
      </c>
      <c r="B3109">
        <f>4176.2925954247*(3/4)</f>
        <v>3132.2194465685288</v>
      </c>
    </row>
    <row r="3110" spans="1:2" x14ac:dyDescent="0.3">
      <c r="A3110" s="2">
        <v>45787.5</v>
      </c>
      <c r="B3110">
        <f>4262.08582852269*(3/4)</f>
        <v>3196.5643713920153</v>
      </c>
    </row>
    <row r="3111" spans="1:2" x14ac:dyDescent="0.3">
      <c r="A3111" s="2">
        <v>45787.541666666657</v>
      </c>
      <c r="B3111">
        <f>3786.1428053559*(3/4)</f>
        <v>2839.6071040169227</v>
      </c>
    </row>
    <row r="3112" spans="1:2" x14ac:dyDescent="0.3">
      <c r="A3112" s="2">
        <v>45787.583333333343</v>
      </c>
      <c r="B3112">
        <f>3581.7722167214*(3/4)</f>
        <v>2686.3291625410529</v>
      </c>
    </row>
    <row r="3113" spans="1:2" x14ac:dyDescent="0.3">
      <c r="A3113" s="2">
        <v>45787.625</v>
      </c>
      <c r="B3113">
        <f>3799.30844343193*(3/4)</f>
        <v>2849.481332573951</v>
      </c>
    </row>
    <row r="3114" spans="1:2" x14ac:dyDescent="0.3">
      <c r="A3114" s="2">
        <v>45787.666666666657</v>
      </c>
      <c r="B3114">
        <f>3850.5970944274*(3/4)</f>
        <v>2887.9478208205528</v>
      </c>
    </row>
    <row r="3115" spans="1:2" x14ac:dyDescent="0.3">
      <c r="A3115" s="2">
        <v>45787.708333333343</v>
      </c>
      <c r="B3115">
        <f>4006.78731426359*(3/4)</f>
        <v>3005.0904856976917</v>
      </c>
    </row>
    <row r="3116" spans="1:2" x14ac:dyDescent="0.3">
      <c r="A3116" s="2">
        <v>45787.75</v>
      </c>
      <c r="B3116">
        <f>4141.35761996669*(3/4)</f>
        <v>3106.0182149750208</v>
      </c>
    </row>
    <row r="3117" spans="1:2" x14ac:dyDescent="0.3">
      <c r="A3117" s="2">
        <v>45787.791666666657</v>
      </c>
      <c r="B3117">
        <f>4319.29465212952*(3/4)</f>
        <v>3239.4709890971417</v>
      </c>
    </row>
    <row r="3118" spans="1:2" x14ac:dyDescent="0.3">
      <c r="A3118" s="2">
        <v>45787.833333333343</v>
      </c>
      <c r="B3118">
        <f>3372.83650761223*(3/4)</f>
        <v>2529.6273807091693</v>
      </c>
    </row>
    <row r="3119" spans="1:2" x14ac:dyDescent="0.3">
      <c r="A3119" s="2">
        <v>45787.875</v>
      </c>
      <c r="B3119">
        <f>3797.38401597134*(3/4)</f>
        <v>2848.0380119785073</v>
      </c>
    </row>
    <row r="3120" spans="1:2" x14ac:dyDescent="0.3">
      <c r="A3120" s="2">
        <v>45787.916666666657</v>
      </c>
      <c r="B3120">
        <f>3594.35811992149*(3/4)</f>
        <v>2695.7685899411176</v>
      </c>
    </row>
    <row r="3121" spans="1:2" x14ac:dyDescent="0.3">
      <c r="A3121" s="2">
        <v>45787.958333333343</v>
      </c>
      <c r="B3121">
        <f>3757.64274349165*(3/4)</f>
        <v>2818.232057618739</v>
      </c>
    </row>
    <row r="3122" spans="1:2" x14ac:dyDescent="0.3">
      <c r="A3122" s="2">
        <v>45788</v>
      </c>
      <c r="B3122">
        <f>4127.67983781775*(3/4)</f>
        <v>3095.7598783633111</v>
      </c>
    </row>
    <row r="3123" spans="1:2" x14ac:dyDescent="0.3">
      <c r="A3123" s="2">
        <v>45788.041666666657</v>
      </c>
      <c r="B3123">
        <f>4209.82029987999*(3/4)</f>
        <v>3157.3652249099905</v>
      </c>
    </row>
    <row r="3124" spans="1:2" x14ac:dyDescent="0.3">
      <c r="A3124" s="2">
        <v>45788.083333333343</v>
      </c>
      <c r="B3124">
        <f>4153.0018168766*(3/4)</f>
        <v>3114.7513626574491</v>
      </c>
    </row>
    <row r="3125" spans="1:2" x14ac:dyDescent="0.3">
      <c r="A3125" s="2">
        <v>45788.125</v>
      </c>
      <c r="B3125">
        <f>4007.87464991638*(3/4)</f>
        <v>3005.9059874372833</v>
      </c>
    </row>
    <row r="3126" spans="1:2" x14ac:dyDescent="0.3">
      <c r="A3126" s="2">
        <v>45788.166666666657</v>
      </c>
      <c r="B3126">
        <f>3831.71179526122*(3/4)</f>
        <v>2873.7838464459173</v>
      </c>
    </row>
    <row r="3127" spans="1:2" x14ac:dyDescent="0.3">
      <c r="A3127" s="2">
        <v>45788.208333333343</v>
      </c>
      <c r="B3127">
        <f>4101.37406285246*(3/4)</f>
        <v>3076.0305471393458</v>
      </c>
    </row>
    <row r="3128" spans="1:2" x14ac:dyDescent="0.3">
      <c r="A3128" s="2">
        <v>45788.25</v>
      </c>
      <c r="B3128">
        <f>3694.94598913576*(3/4)</f>
        <v>2771.2094918518178</v>
      </c>
    </row>
    <row r="3129" spans="1:2" x14ac:dyDescent="0.3">
      <c r="A3129" s="2">
        <v>45788.291666666657</v>
      </c>
      <c r="B3129">
        <f>3857.04813365608*(3/4)</f>
        <v>2892.78610024206</v>
      </c>
    </row>
    <row r="3130" spans="1:2" x14ac:dyDescent="0.3">
      <c r="A3130" s="2">
        <v>45788.333333333343</v>
      </c>
      <c r="B3130">
        <f>3416.45382945945*(3/4)</f>
        <v>2562.3403720945844</v>
      </c>
    </row>
    <row r="3131" spans="1:2" x14ac:dyDescent="0.3">
      <c r="A3131" s="2">
        <v>45788.375</v>
      </c>
      <c r="B3131">
        <f>2978.03360041136*(3/4)</f>
        <v>2233.5252003085161</v>
      </c>
    </row>
    <row r="3132" spans="1:2" x14ac:dyDescent="0.3">
      <c r="A3132" s="2">
        <v>45788.416666666657</v>
      </c>
      <c r="B3132">
        <f>3092.24935053583*(3/4)</f>
        <v>2319.1870129018707</v>
      </c>
    </row>
    <row r="3133" spans="1:2" x14ac:dyDescent="0.3">
      <c r="A3133" s="2">
        <v>45788.458333333343</v>
      </c>
      <c r="B3133">
        <f>2993.69668648782*(3/4)</f>
        <v>2245.2725148658651</v>
      </c>
    </row>
    <row r="3134" spans="1:2" x14ac:dyDescent="0.3">
      <c r="A3134" s="2">
        <v>45788.5</v>
      </c>
      <c r="B3134">
        <f>3101.64089520026*(3/4)</f>
        <v>2326.2306714001948</v>
      </c>
    </row>
    <row r="3135" spans="1:2" x14ac:dyDescent="0.3">
      <c r="A3135" s="2">
        <v>45788.541666666657</v>
      </c>
      <c r="B3135">
        <f>3135.93988348475*(3/4)</f>
        <v>2351.9549126135662</v>
      </c>
    </row>
    <row r="3136" spans="1:2" x14ac:dyDescent="0.3">
      <c r="A3136" s="2">
        <v>45788.583333333343</v>
      </c>
      <c r="B3136">
        <f>3277.74681826058*(3/4)</f>
        <v>2458.3101136954342</v>
      </c>
    </row>
    <row r="3137" spans="1:2" x14ac:dyDescent="0.3">
      <c r="A3137" s="2">
        <v>45788.625</v>
      </c>
      <c r="B3137">
        <f>2859.87473012556*(3/4)</f>
        <v>2144.9060475941692</v>
      </c>
    </row>
    <row r="3138" spans="1:2" x14ac:dyDescent="0.3">
      <c r="A3138" s="2">
        <v>45788.666666666657</v>
      </c>
      <c r="B3138">
        <f>3353.7156710114*(3/4)</f>
        <v>2515.2867532585506</v>
      </c>
    </row>
    <row r="3139" spans="1:2" x14ac:dyDescent="0.3">
      <c r="A3139" s="2">
        <v>45788.708333333343</v>
      </c>
      <c r="B3139">
        <f>3983.10522214922*(3/4)</f>
        <v>2987.3289166119143</v>
      </c>
    </row>
    <row r="3140" spans="1:2" x14ac:dyDescent="0.3">
      <c r="A3140" s="2">
        <v>45788.75</v>
      </c>
      <c r="B3140">
        <f>3911.11231203643*(3/4)</f>
        <v>2933.3342340273225</v>
      </c>
    </row>
    <row r="3141" spans="1:2" x14ac:dyDescent="0.3">
      <c r="A3141" s="2">
        <v>45788.791666666657</v>
      </c>
      <c r="B3141">
        <f>3904.66686865481*(3/4)</f>
        <v>2928.5001514911091</v>
      </c>
    </row>
    <row r="3142" spans="1:2" x14ac:dyDescent="0.3">
      <c r="A3142" s="2">
        <v>45788.833333333343</v>
      </c>
      <c r="B3142">
        <f>3935.69002597979*(3/4)</f>
        <v>2951.7675194848393</v>
      </c>
    </row>
    <row r="3143" spans="1:2" x14ac:dyDescent="0.3">
      <c r="A3143" s="2">
        <v>45788.875</v>
      </c>
      <c r="B3143">
        <f>4291.82616600995*(3/4)</f>
        <v>3218.8696245074625</v>
      </c>
    </row>
    <row r="3144" spans="1:2" x14ac:dyDescent="0.3">
      <c r="A3144" s="2">
        <v>45788.916666666657</v>
      </c>
      <c r="B3144">
        <f>3953.17258138204*(3/4)</f>
        <v>2964.8794360365305</v>
      </c>
    </row>
    <row r="3145" spans="1:2" x14ac:dyDescent="0.3">
      <c r="A3145" s="2">
        <v>45788.958333333343</v>
      </c>
      <c r="B3145">
        <f>3837.84034897489*(3/4)</f>
        <v>2878.3802617311649</v>
      </c>
    </row>
    <row r="3146" spans="1:2" x14ac:dyDescent="0.3">
      <c r="A3146" s="2">
        <v>45789</v>
      </c>
      <c r="B3146">
        <f>3856.16840951007*(3/4)</f>
        <v>2892.126307132552</v>
      </c>
    </row>
    <row r="3147" spans="1:2" x14ac:dyDescent="0.3">
      <c r="A3147" s="2">
        <v>45789.041666666657</v>
      </c>
      <c r="B3147">
        <f>4074.21739160133*(3/4)</f>
        <v>3055.6630437010003</v>
      </c>
    </row>
    <row r="3148" spans="1:2" x14ac:dyDescent="0.3">
      <c r="A3148" s="2">
        <v>45789.083333333343</v>
      </c>
      <c r="B3148">
        <f>4131.24917898206*(3/4)</f>
        <v>3098.4368842365475</v>
      </c>
    </row>
    <row r="3149" spans="1:2" x14ac:dyDescent="0.3">
      <c r="A3149" s="2">
        <v>45789.125</v>
      </c>
      <c r="B3149">
        <f>3808.9450152384*(3/4)</f>
        <v>2856.7087614287966</v>
      </c>
    </row>
    <row r="3150" spans="1:2" x14ac:dyDescent="0.3">
      <c r="A3150" s="2">
        <v>45789.166666666657</v>
      </c>
      <c r="B3150">
        <f>3809.86513197002*(3/4)</f>
        <v>2857.3988489775165</v>
      </c>
    </row>
    <row r="3151" spans="1:2" x14ac:dyDescent="0.3">
      <c r="A3151" s="2">
        <v>45789.208333333343</v>
      </c>
      <c r="B3151">
        <f>4094.91426925388*(3/4)</f>
        <v>3071.1857019404138</v>
      </c>
    </row>
    <row r="3152" spans="1:2" x14ac:dyDescent="0.3">
      <c r="A3152" s="2">
        <v>45789.25</v>
      </c>
      <c r="B3152">
        <f>3746.64676696184*(3/4)</f>
        <v>2809.9850752213761</v>
      </c>
    </row>
    <row r="3153" spans="1:2" x14ac:dyDescent="0.3">
      <c r="A3153" s="2">
        <v>45789.291666666657</v>
      </c>
      <c r="B3153">
        <f>4010.79810085353*(3/4)</f>
        <v>3008.0985756401496</v>
      </c>
    </row>
    <row r="3154" spans="1:2" x14ac:dyDescent="0.3">
      <c r="A3154" s="2">
        <v>45789.333333333343</v>
      </c>
      <c r="B3154">
        <f>4280.37581793398*(3/4)</f>
        <v>3210.2818634504879</v>
      </c>
    </row>
    <row r="3155" spans="1:2" x14ac:dyDescent="0.3">
      <c r="A3155" s="2">
        <v>45789.375</v>
      </c>
      <c r="B3155">
        <f>3988.18310373158*(3/4)</f>
        <v>2991.1373277986845</v>
      </c>
    </row>
    <row r="3156" spans="1:2" x14ac:dyDescent="0.3">
      <c r="A3156" s="2">
        <v>45789.416666666657</v>
      </c>
      <c r="B3156">
        <f>4071.07566719735*(3/4)</f>
        <v>3053.306750398011</v>
      </c>
    </row>
    <row r="3157" spans="1:2" x14ac:dyDescent="0.3">
      <c r="A3157" s="2">
        <v>45789.458333333343</v>
      </c>
      <c r="B3157">
        <f>4179.93269761469*(3/4)</f>
        <v>3134.9495232110157</v>
      </c>
    </row>
    <row r="3158" spans="1:2" x14ac:dyDescent="0.3">
      <c r="A3158" s="2">
        <v>45789.5</v>
      </c>
      <c r="B3158">
        <f>4165.84134578367*(3/4)</f>
        <v>3124.3810093377488</v>
      </c>
    </row>
    <row r="3159" spans="1:2" x14ac:dyDescent="0.3">
      <c r="A3159" s="2">
        <v>45789.541666666657</v>
      </c>
      <c r="B3159">
        <f>3951.52022855293*(3/4)</f>
        <v>2963.6401714146959</v>
      </c>
    </row>
    <row r="3160" spans="1:2" x14ac:dyDescent="0.3">
      <c r="A3160" s="2">
        <v>45789.583333333343</v>
      </c>
      <c r="B3160">
        <f>3500.27719682499*(3/4)</f>
        <v>2625.2078976187463</v>
      </c>
    </row>
    <row r="3161" spans="1:2" x14ac:dyDescent="0.3">
      <c r="A3161" s="2">
        <v>45789.625</v>
      </c>
      <c r="B3161">
        <f>3993.40855949101*(3/4)</f>
        <v>2995.0564196182554</v>
      </c>
    </row>
    <row r="3162" spans="1:2" x14ac:dyDescent="0.3">
      <c r="A3162" s="2">
        <v>45789.666666666657</v>
      </c>
      <c r="B3162">
        <f>4242.82884337171*(3/4)</f>
        <v>3182.1216325287805</v>
      </c>
    </row>
    <row r="3163" spans="1:2" x14ac:dyDescent="0.3">
      <c r="A3163" s="2">
        <v>45789.708333333343</v>
      </c>
      <c r="B3163">
        <f>3954.45324984626*(3/4)</f>
        <v>2965.8399373846942</v>
      </c>
    </row>
    <row r="3164" spans="1:2" x14ac:dyDescent="0.3">
      <c r="A3164" s="2">
        <v>45789.75</v>
      </c>
      <c r="B3164">
        <f>3950.20381553024*(3/4)</f>
        <v>2962.6528616476821</v>
      </c>
    </row>
    <row r="3165" spans="1:2" x14ac:dyDescent="0.3">
      <c r="A3165" s="2">
        <v>45789.791666666657</v>
      </c>
      <c r="B3165">
        <f>4060.72150695738*(3/4)</f>
        <v>3045.5411302180355</v>
      </c>
    </row>
    <row r="3166" spans="1:2" x14ac:dyDescent="0.3">
      <c r="A3166" s="2">
        <v>45789.833333333343</v>
      </c>
      <c r="B3166">
        <f>4014.5067854139*(3/4)</f>
        <v>3010.8800890604225</v>
      </c>
    </row>
    <row r="3167" spans="1:2" x14ac:dyDescent="0.3">
      <c r="A3167" s="2">
        <v>45789.875</v>
      </c>
      <c r="B3167">
        <f>3824.96219022744*(3/4)</f>
        <v>2868.7216426705772</v>
      </c>
    </row>
    <row r="3168" spans="1:2" x14ac:dyDescent="0.3">
      <c r="A3168" s="2">
        <v>45789.916666666657</v>
      </c>
      <c r="B3168">
        <f>3883.07141243571*(3/4)</f>
        <v>2912.3035593267796</v>
      </c>
    </row>
    <row r="3169" spans="1:2" x14ac:dyDescent="0.3">
      <c r="A3169" s="2">
        <v>45789.958333333343</v>
      </c>
      <c r="B3169">
        <f>3846.46821999474*(3/4)</f>
        <v>2884.8511649960533</v>
      </c>
    </row>
    <row r="3170" spans="1:2" x14ac:dyDescent="0.3">
      <c r="A3170" s="2">
        <v>45790</v>
      </c>
      <c r="B3170">
        <f>4100.5017405082*(3/4)</f>
        <v>3075.3763053811485</v>
      </c>
    </row>
    <row r="3171" spans="1:2" x14ac:dyDescent="0.3">
      <c r="A3171" s="2">
        <v>45790.041666666657</v>
      </c>
      <c r="B3171">
        <f>3968.91142724997*(3/4)</f>
        <v>2976.6835704374757</v>
      </c>
    </row>
    <row r="3172" spans="1:2" x14ac:dyDescent="0.3">
      <c r="A3172" s="2">
        <v>45790.083333333343</v>
      </c>
      <c r="B3172">
        <f>4095.69407657691*(3/4)</f>
        <v>3071.7705574326833</v>
      </c>
    </row>
    <row r="3173" spans="1:2" x14ac:dyDescent="0.3">
      <c r="A3173" s="2">
        <v>45790.125</v>
      </c>
      <c r="B3173">
        <f>3902.97185897465*(3/4)</f>
        <v>2927.2288942309874</v>
      </c>
    </row>
    <row r="3174" spans="1:2" x14ac:dyDescent="0.3">
      <c r="A3174" s="2">
        <v>45790.166666666657</v>
      </c>
      <c r="B3174">
        <f>4092.11447413416*(3/4)</f>
        <v>3069.0858556006237</v>
      </c>
    </row>
    <row r="3175" spans="1:2" x14ac:dyDescent="0.3">
      <c r="A3175" s="2">
        <v>45790.208333333343</v>
      </c>
      <c r="B3175">
        <f>4043.1788163498*(3/4)</f>
        <v>3032.384112262348</v>
      </c>
    </row>
    <row r="3176" spans="1:2" x14ac:dyDescent="0.3">
      <c r="A3176" s="2">
        <v>45790.25</v>
      </c>
      <c r="B3176">
        <f>3535.92737298119*(3/4)</f>
        <v>2651.9455297358954</v>
      </c>
    </row>
    <row r="3177" spans="1:2" x14ac:dyDescent="0.3">
      <c r="A3177" s="2">
        <v>45790.291666666657</v>
      </c>
      <c r="B3177">
        <f>4190.09031699625*(3/4)</f>
        <v>3142.5677377471898</v>
      </c>
    </row>
    <row r="3178" spans="1:2" x14ac:dyDescent="0.3">
      <c r="A3178" s="2">
        <v>45790.333333333343</v>
      </c>
      <c r="B3178">
        <f>4093.89991448313*(3/4)</f>
        <v>3070.424935862346</v>
      </c>
    </row>
    <row r="3179" spans="1:2" x14ac:dyDescent="0.3">
      <c r="A3179" s="2">
        <v>45790.375</v>
      </c>
      <c r="B3179">
        <f>3794.01621657036*(3/4)</f>
        <v>2845.5121624277708</v>
      </c>
    </row>
    <row r="3180" spans="1:2" x14ac:dyDescent="0.3">
      <c r="A3180" s="2">
        <v>45790.416666666657</v>
      </c>
      <c r="B3180">
        <f>3944.94808721329*(3/4)</f>
        <v>2958.7110654099697</v>
      </c>
    </row>
    <row r="3181" spans="1:2" x14ac:dyDescent="0.3">
      <c r="A3181" s="2">
        <v>45790.458333333343</v>
      </c>
      <c r="B3181">
        <f>3947.94930775898*(3/4)</f>
        <v>2960.9619808192319</v>
      </c>
    </row>
    <row r="3182" spans="1:2" x14ac:dyDescent="0.3">
      <c r="A3182" s="2">
        <v>45790.5</v>
      </c>
      <c r="B3182">
        <f>3987.21194215134*(3/4)</f>
        <v>2990.4089566135021</v>
      </c>
    </row>
    <row r="3183" spans="1:2" x14ac:dyDescent="0.3">
      <c r="A3183" s="2">
        <v>45790.541666666657</v>
      </c>
      <c r="B3183">
        <f>3828.21504717577*(3/4)</f>
        <v>2871.161285381826</v>
      </c>
    </row>
    <row r="3184" spans="1:2" x14ac:dyDescent="0.3">
      <c r="A3184" s="2">
        <v>45790.583333333343</v>
      </c>
      <c r="B3184">
        <f>3611.7080205928*(3/4)</f>
        <v>2708.7810154446024</v>
      </c>
    </row>
    <row r="3185" spans="1:2" x14ac:dyDescent="0.3">
      <c r="A3185" s="2">
        <v>45790.625</v>
      </c>
      <c r="B3185">
        <f>4004.2644685123*(3/4)</f>
        <v>3003.198351384222</v>
      </c>
    </row>
    <row r="3186" spans="1:2" x14ac:dyDescent="0.3">
      <c r="A3186" s="2">
        <v>45790.666666666657</v>
      </c>
      <c r="B3186">
        <f>4155.37696084819*(3/4)</f>
        <v>3116.532720636143</v>
      </c>
    </row>
    <row r="3187" spans="1:2" x14ac:dyDescent="0.3">
      <c r="A3187" s="2">
        <v>45790.708333333343</v>
      </c>
      <c r="B3187">
        <f>3990.15727328136*(3/4)</f>
        <v>2992.6179549610206</v>
      </c>
    </row>
    <row r="3188" spans="1:2" x14ac:dyDescent="0.3">
      <c r="A3188" s="2">
        <v>45790.75</v>
      </c>
      <c r="B3188">
        <f>4090.20595474519*(3/4)</f>
        <v>3067.6544660588947</v>
      </c>
    </row>
    <row r="3189" spans="1:2" x14ac:dyDescent="0.3">
      <c r="A3189" s="2">
        <v>45790.791666666657</v>
      </c>
      <c r="B3189">
        <f>3870.64398763095*(3/4)</f>
        <v>2902.982990723212</v>
      </c>
    </row>
    <row r="3190" spans="1:2" x14ac:dyDescent="0.3">
      <c r="A3190" s="2">
        <v>45790.833333333343</v>
      </c>
      <c r="B3190">
        <f>3867.8499065799*(3/4)</f>
        <v>2900.8874299349263</v>
      </c>
    </row>
    <row r="3191" spans="1:2" x14ac:dyDescent="0.3">
      <c r="A3191" s="2">
        <v>45790.875</v>
      </c>
      <c r="B3191">
        <f>4338.59764562898*(3/4)</f>
        <v>3253.9482342217334</v>
      </c>
    </row>
    <row r="3192" spans="1:2" x14ac:dyDescent="0.3">
      <c r="A3192" s="2">
        <v>45790.916666666657</v>
      </c>
      <c r="B3192">
        <f>3987.57899458275*(3/4)</f>
        <v>2990.6842459370596</v>
      </c>
    </row>
    <row r="3193" spans="1:2" x14ac:dyDescent="0.3">
      <c r="A3193" s="2">
        <v>45790.958333333343</v>
      </c>
      <c r="B3193">
        <f>3762.9448959661*(3/4)</f>
        <v>2822.2086719745776</v>
      </c>
    </row>
    <row r="3194" spans="1:2" x14ac:dyDescent="0.3">
      <c r="A3194" s="2">
        <v>45791</v>
      </c>
      <c r="B3194">
        <f>4272.63310904118*(3/4)</f>
        <v>3204.4748317808817</v>
      </c>
    </row>
    <row r="3195" spans="1:2" x14ac:dyDescent="0.3">
      <c r="A3195" s="2">
        <v>45791.041666666657</v>
      </c>
      <c r="B3195">
        <f>3757.97787980726*(3/4)</f>
        <v>2818.4834098554429</v>
      </c>
    </row>
    <row r="3196" spans="1:2" x14ac:dyDescent="0.3">
      <c r="A3196" s="2">
        <v>45791.083333333343</v>
      </c>
      <c r="B3196">
        <f>3979.58536636329*(3/4)</f>
        <v>2984.6890247724705</v>
      </c>
    </row>
    <row r="3197" spans="1:2" x14ac:dyDescent="0.3">
      <c r="A3197" s="2">
        <v>45791.125</v>
      </c>
      <c r="B3197">
        <f>3716.46229928743*(3/4)</f>
        <v>2787.3467244655703</v>
      </c>
    </row>
    <row r="3198" spans="1:2" x14ac:dyDescent="0.3">
      <c r="A3198" s="2">
        <v>45791.166666666657</v>
      </c>
      <c r="B3198">
        <f>4075.31089856794*(3/4)</f>
        <v>3056.4831739259521</v>
      </c>
    </row>
    <row r="3199" spans="1:2" x14ac:dyDescent="0.3">
      <c r="A3199" s="2">
        <v>45791.208333333343</v>
      </c>
      <c r="B3199">
        <f>4023.94112525141*(3/4)</f>
        <v>3017.9558439385592</v>
      </c>
    </row>
    <row r="3200" spans="1:2" x14ac:dyDescent="0.3">
      <c r="A3200" s="2">
        <v>45791.25</v>
      </c>
      <c r="B3200">
        <f>3695.25956246315*(3/4)</f>
        <v>2771.4446718473632</v>
      </c>
    </row>
    <row r="3201" spans="1:2" x14ac:dyDescent="0.3">
      <c r="A3201" s="2">
        <v>45791.291666666657</v>
      </c>
      <c r="B3201">
        <f>3867.69582699319*(3/4)</f>
        <v>2900.7718702448901</v>
      </c>
    </row>
    <row r="3202" spans="1:2" x14ac:dyDescent="0.3">
      <c r="A3202" s="2">
        <v>45791.333333333343</v>
      </c>
      <c r="B3202">
        <f>3910.28760316067*(3/4)</f>
        <v>2932.715702370504</v>
      </c>
    </row>
    <row r="3203" spans="1:2" x14ac:dyDescent="0.3">
      <c r="A3203" s="2">
        <v>45791.375</v>
      </c>
      <c r="B3203">
        <f>4050.71431295463*(3/4)</f>
        <v>3038.0357347159743</v>
      </c>
    </row>
    <row r="3204" spans="1:2" x14ac:dyDescent="0.3">
      <c r="A3204" s="2">
        <v>45791.416666666657</v>
      </c>
      <c r="B3204">
        <f>3936.11278581912*(3/4)</f>
        <v>2952.0845893643409</v>
      </c>
    </row>
    <row r="3205" spans="1:2" x14ac:dyDescent="0.3">
      <c r="A3205" s="2">
        <v>45791.458333333343</v>
      </c>
      <c r="B3205">
        <f>3975.06991405782*(3/4)</f>
        <v>2981.3024355433681</v>
      </c>
    </row>
    <row r="3206" spans="1:2" x14ac:dyDescent="0.3">
      <c r="A3206" s="2">
        <v>45791.5</v>
      </c>
      <c r="B3206">
        <f>3457.65832242912*(3/4)</f>
        <v>2593.2437418218378</v>
      </c>
    </row>
    <row r="3207" spans="1:2" x14ac:dyDescent="0.3">
      <c r="A3207" s="2">
        <v>45791.541666666657</v>
      </c>
      <c r="B3207">
        <f>3924.76637596452*(3/4)</f>
        <v>2943.5747819733879</v>
      </c>
    </row>
    <row r="3208" spans="1:2" x14ac:dyDescent="0.3">
      <c r="A3208" s="2">
        <v>45791.583333333343</v>
      </c>
      <c r="B3208">
        <f>3919.64735161324*(3/4)</f>
        <v>2939.7355137099275</v>
      </c>
    </row>
    <row r="3209" spans="1:2" x14ac:dyDescent="0.3">
      <c r="A3209" s="2">
        <v>45791.625</v>
      </c>
      <c r="B3209">
        <f>4227.24540485022*(3/4)</f>
        <v>3170.4340536376676</v>
      </c>
    </row>
    <row r="3210" spans="1:2" x14ac:dyDescent="0.3">
      <c r="A3210" s="2">
        <v>45791.666666666657</v>
      </c>
      <c r="B3210">
        <f>3806.16139995578*(3/4)</f>
        <v>2854.6210499668387</v>
      </c>
    </row>
    <row r="3211" spans="1:2" x14ac:dyDescent="0.3">
      <c r="A3211" s="2">
        <v>45791.708333333343</v>
      </c>
      <c r="B3211">
        <f>4182.86733992711*(3/4)</f>
        <v>3137.1505049453326</v>
      </c>
    </row>
    <row r="3212" spans="1:2" x14ac:dyDescent="0.3">
      <c r="A3212" s="2">
        <v>45791.75</v>
      </c>
      <c r="B3212">
        <f>4096.69795956957*(3/4)</f>
        <v>3072.5234696771777</v>
      </c>
    </row>
    <row r="3213" spans="1:2" x14ac:dyDescent="0.3">
      <c r="A3213" s="2">
        <v>45791.791666666657</v>
      </c>
      <c r="B3213">
        <f>4093.06463728037*(3/4)</f>
        <v>3069.7984779602766</v>
      </c>
    </row>
    <row r="3214" spans="1:2" x14ac:dyDescent="0.3">
      <c r="A3214" s="2">
        <v>45791.833333333343</v>
      </c>
      <c r="B3214">
        <f>4401.4886635821*(3/4)</f>
        <v>3301.116497686578</v>
      </c>
    </row>
    <row r="3215" spans="1:2" x14ac:dyDescent="0.3">
      <c r="A3215" s="2">
        <v>45791.875</v>
      </c>
      <c r="B3215">
        <f>4114.34049104454*(3/4)</f>
        <v>3085.7553682834077</v>
      </c>
    </row>
    <row r="3216" spans="1:2" x14ac:dyDescent="0.3">
      <c r="A3216" s="2">
        <v>45791.916666666657</v>
      </c>
      <c r="B3216">
        <f>3744.97538230042*(3/4)</f>
        <v>2808.7315367253159</v>
      </c>
    </row>
    <row r="3217" spans="1:2" x14ac:dyDescent="0.3">
      <c r="A3217" s="2">
        <v>45791.958333333343</v>
      </c>
      <c r="B3217">
        <f>3964.08349751092*(3/4)</f>
        <v>2973.0626231331894</v>
      </c>
    </row>
    <row r="3218" spans="1:2" x14ac:dyDescent="0.3">
      <c r="A3218" s="2">
        <v>45792</v>
      </c>
      <c r="B3218">
        <f>4342.58049900407*(3/4)</f>
        <v>3256.9353742530529</v>
      </c>
    </row>
    <row r="3219" spans="1:2" x14ac:dyDescent="0.3">
      <c r="A3219" s="2">
        <v>45792.041666666657</v>
      </c>
      <c r="B3219">
        <f>3852.13135795421*(3/4)</f>
        <v>2889.0985184656552</v>
      </c>
    </row>
    <row r="3220" spans="1:2" x14ac:dyDescent="0.3">
      <c r="A3220" s="2">
        <v>45792.083333333343</v>
      </c>
      <c r="B3220">
        <f>3477.97576385562*(3/4)</f>
        <v>2608.4818228917175</v>
      </c>
    </row>
    <row r="3221" spans="1:2" x14ac:dyDescent="0.3">
      <c r="A3221" s="2">
        <v>45792.125</v>
      </c>
      <c r="B3221">
        <f>4169.91371968653*(3/4)</f>
        <v>3127.4352897648964</v>
      </c>
    </row>
    <row r="3222" spans="1:2" x14ac:dyDescent="0.3">
      <c r="A3222" s="2">
        <v>45792.166666666657</v>
      </c>
      <c r="B3222">
        <f>3964.38203680885*(3/4)</f>
        <v>2973.2865276066382</v>
      </c>
    </row>
    <row r="3223" spans="1:2" x14ac:dyDescent="0.3">
      <c r="A3223" s="2">
        <v>45792.208333333343</v>
      </c>
      <c r="B3223">
        <f>3734.38249847099*(3/4)</f>
        <v>2800.7868738532447</v>
      </c>
    </row>
    <row r="3224" spans="1:2" x14ac:dyDescent="0.3">
      <c r="A3224" s="2">
        <v>45792.25</v>
      </c>
      <c r="B3224">
        <f>3761.71846785767*(3/4)</f>
        <v>2821.288850893251</v>
      </c>
    </row>
    <row r="3225" spans="1:2" x14ac:dyDescent="0.3">
      <c r="A3225" s="2">
        <v>45792.291666666657</v>
      </c>
      <c r="B3225">
        <f>3967.53897130914*(3/4)</f>
        <v>2975.6542284818534</v>
      </c>
    </row>
    <row r="3226" spans="1:2" x14ac:dyDescent="0.3">
      <c r="A3226" s="2">
        <v>45792.333333333343</v>
      </c>
      <c r="B3226">
        <f>4269.97087400939*(3/4)</f>
        <v>3202.4781555070431</v>
      </c>
    </row>
    <row r="3227" spans="1:2" x14ac:dyDescent="0.3">
      <c r="A3227" s="2">
        <v>45792.375</v>
      </c>
      <c r="B3227">
        <f>4099.90906625296*(3/4)</f>
        <v>3074.9317996897207</v>
      </c>
    </row>
    <row r="3228" spans="1:2" x14ac:dyDescent="0.3">
      <c r="A3228" s="2">
        <v>45792.416666666657</v>
      </c>
      <c r="B3228">
        <f>4228.15593584412*(3/4)</f>
        <v>3171.116951883093</v>
      </c>
    </row>
    <row r="3229" spans="1:2" x14ac:dyDescent="0.3">
      <c r="A3229" s="2">
        <v>45792.458333333343</v>
      </c>
      <c r="B3229">
        <f>4188.30631007654*(3/4)</f>
        <v>3141.2297325574018</v>
      </c>
    </row>
    <row r="3230" spans="1:2" x14ac:dyDescent="0.3">
      <c r="A3230" s="2">
        <v>45792.5</v>
      </c>
      <c r="B3230">
        <f>4474.90223551756*(3/4)</f>
        <v>3356.1766766381702</v>
      </c>
    </row>
    <row r="3231" spans="1:2" x14ac:dyDescent="0.3">
      <c r="A3231" s="2">
        <v>45792.541666666657</v>
      </c>
      <c r="B3231">
        <f>4109.87277820872*(3/4)</f>
        <v>3082.4045836565374</v>
      </c>
    </row>
    <row r="3232" spans="1:2" x14ac:dyDescent="0.3">
      <c r="A3232" s="2">
        <v>45792.583333333343</v>
      </c>
      <c r="B3232">
        <f>4000.35918335741*(3/4)</f>
        <v>3000.2693875180553</v>
      </c>
    </row>
    <row r="3233" spans="1:2" x14ac:dyDescent="0.3">
      <c r="A3233" s="2">
        <v>45792.625</v>
      </c>
      <c r="B3233">
        <f>4309.61126070005*(3/4)</f>
        <v>3232.208445525037</v>
      </c>
    </row>
    <row r="3234" spans="1:2" x14ac:dyDescent="0.3">
      <c r="A3234" s="2">
        <v>45792.666666666657</v>
      </c>
      <c r="B3234">
        <f>4102.38845438362*(3/4)</f>
        <v>3076.7913407877168</v>
      </c>
    </row>
    <row r="3235" spans="1:2" x14ac:dyDescent="0.3">
      <c r="A3235" s="2">
        <v>45792.708333333343</v>
      </c>
      <c r="B3235">
        <f>4123.33416117582*(3/4)</f>
        <v>3092.5006208818654</v>
      </c>
    </row>
    <row r="3236" spans="1:2" x14ac:dyDescent="0.3">
      <c r="A3236" s="2">
        <v>45792.75</v>
      </c>
      <c r="B3236">
        <f>3988.86604720325*(3/4)</f>
        <v>2991.6495354024378</v>
      </c>
    </row>
    <row r="3237" spans="1:2" x14ac:dyDescent="0.3">
      <c r="A3237" s="2">
        <v>45792.791666666657</v>
      </c>
      <c r="B3237">
        <f>4317.09559902377*(3/4)</f>
        <v>3237.8216992678267</v>
      </c>
    </row>
    <row r="3238" spans="1:2" x14ac:dyDescent="0.3">
      <c r="A3238" s="2">
        <v>45792.833333333343</v>
      </c>
      <c r="B3238">
        <f>3963.62840946938*(3/4)</f>
        <v>2972.721307102036</v>
      </c>
    </row>
    <row r="3239" spans="1:2" x14ac:dyDescent="0.3">
      <c r="A3239" s="2">
        <v>45792.875</v>
      </c>
      <c r="B3239">
        <f>3893.62447187467*(3/4)</f>
        <v>2920.2183539060024</v>
      </c>
    </row>
    <row r="3240" spans="1:2" x14ac:dyDescent="0.3">
      <c r="A3240" s="2">
        <v>45792.916666666657</v>
      </c>
      <c r="B3240">
        <f>3824.03679509664*(3/4)</f>
        <v>2868.0275963224785</v>
      </c>
    </row>
    <row r="3241" spans="1:2" x14ac:dyDescent="0.3">
      <c r="A3241" s="2">
        <v>45792.958333333343</v>
      </c>
      <c r="B3241">
        <f>3914.51840745597*(3/4)</f>
        <v>2935.8888055919765</v>
      </c>
    </row>
    <row r="3242" spans="1:2" x14ac:dyDescent="0.3">
      <c r="A3242" s="2">
        <v>45793</v>
      </c>
      <c r="B3242">
        <f>3667.70614020625*(3/4)</f>
        <v>2750.7796051546911</v>
      </c>
    </row>
    <row r="3243" spans="1:2" x14ac:dyDescent="0.3">
      <c r="A3243" s="2">
        <v>45793.041666666657</v>
      </c>
      <c r="B3243">
        <f>3843.71708669657*(3/4)</f>
        <v>2882.787815022426</v>
      </c>
    </row>
    <row r="3244" spans="1:2" x14ac:dyDescent="0.3">
      <c r="A3244" s="2">
        <v>45793.083333333343</v>
      </c>
      <c r="B3244">
        <f>3982.91307095977*(3/4)</f>
        <v>2987.1848032198268</v>
      </c>
    </row>
    <row r="3245" spans="1:2" x14ac:dyDescent="0.3">
      <c r="A3245" s="2">
        <v>45793.125</v>
      </c>
      <c r="B3245">
        <f>3910.85738096533*(3/4)</f>
        <v>2933.1430357239997</v>
      </c>
    </row>
    <row r="3246" spans="1:2" x14ac:dyDescent="0.3">
      <c r="A3246" s="2">
        <v>45793.166666666657</v>
      </c>
      <c r="B3246">
        <f>3169.32120684977*(3/4)</f>
        <v>2376.990905137327</v>
      </c>
    </row>
    <row r="3247" spans="1:2" x14ac:dyDescent="0.3">
      <c r="A3247" s="2">
        <v>45793.208333333343</v>
      </c>
      <c r="B3247">
        <f>4065.06570499073*(3/4)</f>
        <v>3048.7992787430444</v>
      </c>
    </row>
    <row r="3248" spans="1:2" x14ac:dyDescent="0.3">
      <c r="A3248" s="2">
        <v>45793.25</v>
      </c>
      <c r="B3248">
        <f>3776.33936481356*(3/4)</f>
        <v>2832.2545236101678</v>
      </c>
    </row>
    <row r="3249" spans="1:2" x14ac:dyDescent="0.3">
      <c r="A3249" s="2">
        <v>45793.291666666657</v>
      </c>
      <c r="B3249">
        <f>4214.51087317748*(3/4)</f>
        <v>3160.8831548831085</v>
      </c>
    </row>
    <row r="3250" spans="1:2" x14ac:dyDescent="0.3">
      <c r="A3250" s="2">
        <v>45793.333333333343</v>
      </c>
      <c r="B3250">
        <f>4078.98091250385*(3/4)</f>
        <v>3059.235684377888</v>
      </c>
    </row>
    <row r="3251" spans="1:2" x14ac:dyDescent="0.3">
      <c r="A3251" s="2">
        <v>45793.375</v>
      </c>
      <c r="B3251">
        <f>4154.37454378057*(3/4)</f>
        <v>3115.7809078354294</v>
      </c>
    </row>
    <row r="3252" spans="1:2" x14ac:dyDescent="0.3">
      <c r="A3252" s="2">
        <v>45793.416666666657</v>
      </c>
      <c r="B3252">
        <f>3824.85251902778*(3/4)</f>
        <v>2868.6393892708334</v>
      </c>
    </row>
    <row r="3253" spans="1:2" x14ac:dyDescent="0.3">
      <c r="A3253" s="2">
        <v>45793.458333333343</v>
      </c>
      <c r="B3253">
        <f>4283.05235904258*(3/4)</f>
        <v>3212.2892692819323</v>
      </c>
    </row>
    <row r="3254" spans="1:2" x14ac:dyDescent="0.3">
      <c r="A3254" s="2">
        <v>45793.5</v>
      </c>
      <c r="B3254">
        <f>4046.61849127822*(3/4)</f>
        <v>3034.963868458668</v>
      </c>
    </row>
    <row r="3255" spans="1:2" x14ac:dyDescent="0.3">
      <c r="A3255" s="2">
        <v>45793.541666666657</v>
      </c>
      <c r="B3255">
        <f>4097.83468657436*(3/4)</f>
        <v>3073.3760149307732</v>
      </c>
    </row>
    <row r="3256" spans="1:2" x14ac:dyDescent="0.3">
      <c r="A3256" s="2">
        <v>45793.583333333343</v>
      </c>
      <c r="B3256">
        <f>3827.99612966046*(3/4)</f>
        <v>2870.9970972453452</v>
      </c>
    </row>
    <row r="3257" spans="1:2" x14ac:dyDescent="0.3">
      <c r="A3257" s="2">
        <v>45793.625</v>
      </c>
      <c r="B3257">
        <f>3900.66748857627*(3/4)</f>
        <v>2925.5006164322062</v>
      </c>
    </row>
    <row r="3258" spans="1:2" x14ac:dyDescent="0.3">
      <c r="A3258" s="2">
        <v>45793.666666666657</v>
      </c>
      <c r="B3258">
        <f>4007.36983713024*(3/4)</f>
        <v>3005.5273778476794</v>
      </c>
    </row>
    <row r="3259" spans="1:2" x14ac:dyDescent="0.3">
      <c r="A3259" s="2">
        <v>45793.708333333343</v>
      </c>
      <c r="B3259">
        <f>3883.05010113926*(3/4)</f>
        <v>2912.2875758544428</v>
      </c>
    </row>
    <row r="3260" spans="1:2" x14ac:dyDescent="0.3">
      <c r="A3260" s="2">
        <v>45793.75</v>
      </c>
      <c r="B3260">
        <f>3987.62881185133*(3/4)</f>
        <v>2990.7216088884961</v>
      </c>
    </row>
    <row r="3261" spans="1:2" x14ac:dyDescent="0.3">
      <c r="A3261" s="2">
        <v>45793.791666666657</v>
      </c>
      <c r="B3261">
        <f>3910.00526057907*(3/4)</f>
        <v>2932.5039454342987</v>
      </c>
    </row>
    <row r="3262" spans="1:2" x14ac:dyDescent="0.3">
      <c r="A3262" s="2">
        <v>45793.833333333343</v>
      </c>
      <c r="B3262">
        <f>4102.64246794219*(3/4)</f>
        <v>3076.9818509566403</v>
      </c>
    </row>
    <row r="3263" spans="1:2" x14ac:dyDescent="0.3">
      <c r="A3263" s="2">
        <v>45793.875</v>
      </c>
      <c r="B3263">
        <f>3972.23129572245*(3/4)</f>
        <v>2979.1734717918362</v>
      </c>
    </row>
    <row r="3264" spans="1:2" x14ac:dyDescent="0.3">
      <c r="A3264" s="2">
        <v>45793.916666666657</v>
      </c>
      <c r="B3264">
        <f>3826.60029009639*(3/4)</f>
        <v>2869.9502175722946</v>
      </c>
    </row>
    <row r="3265" spans="1:2" x14ac:dyDescent="0.3">
      <c r="A3265" s="2">
        <v>45793.958333333343</v>
      </c>
      <c r="B3265">
        <f>3952.1026424426*(3/4)</f>
        <v>2964.0769818319504</v>
      </c>
    </row>
    <row r="3266" spans="1:2" x14ac:dyDescent="0.3">
      <c r="A3266" s="2">
        <v>45794</v>
      </c>
      <c r="B3266">
        <f>4357.89595201332*(3/4)</f>
        <v>3268.42196400999</v>
      </c>
    </row>
    <row r="3267" spans="1:2" x14ac:dyDescent="0.3">
      <c r="A3267" s="2">
        <v>45794.041666666657</v>
      </c>
      <c r="B3267">
        <f>3749.38728395501*(3/4)</f>
        <v>2812.0404629662589</v>
      </c>
    </row>
    <row r="3268" spans="1:2" x14ac:dyDescent="0.3">
      <c r="A3268" s="2">
        <v>45794.083333333343</v>
      </c>
      <c r="B3268">
        <f>3752.51999826863*(3/4)</f>
        <v>2814.389998701472</v>
      </c>
    </row>
    <row r="3269" spans="1:2" x14ac:dyDescent="0.3">
      <c r="A3269" s="2">
        <v>45794.125</v>
      </c>
      <c r="B3269">
        <f>3704.19378652811*(3/4)</f>
        <v>2778.1453398960853</v>
      </c>
    </row>
    <row r="3270" spans="1:2" x14ac:dyDescent="0.3">
      <c r="A3270" s="2">
        <v>45794.166666666657</v>
      </c>
      <c r="B3270">
        <f>4014.65413027242*(3/4)</f>
        <v>3010.9905977043136</v>
      </c>
    </row>
    <row r="3271" spans="1:2" x14ac:dyDescent="0.3">
      <c r="A3271" s="2">
        <v>45794.208333333343</v>
      </c>
      <c r="B3271">
        <f>3886.91437293058*(3/4)</f>
        <v>2915.185779697938</v>
      </c>
    </row>
    <row r="3272" spans="1:2" x14ac:dyDescent="0.3">
      <c r="A3272" s="2">
        <v>45794.25</v>
      </c>
      <c r="B3272">
        <f>3906.14879183829*(3/4)</f>
        <v>2929.6115938787211</v>
      </c>
    </row>
    <row r="3273" spans="1:2" x14ac:dyDescent="0.3">
      <c r="A3273" s="2">
        <v>45794.291666666657</v>
      </c>
      <c r="B3273">
        <f>3999.37760540298*(3/4)</f>
        <v>2999.5332040522344</v>
      </c>
    </row>
    <row r="3274" spans="1:2" x14ac:dyDescent="0.3">
      <c r="A3274" s="2">
        <v>45794.333333333343</v>
      </c>
      <c r="B3274">
        <f>4188.00641426087*(3/4)</f>
        <v>3141.004810695651</v>
      </c>
    </row>
    <row r="3275" spans="1:2" x14ac:dyDescent="0.3">
      <c r="A3275" s="2">
        <v>45794.375</v>
      </c>
      <c r="B3275">
        <f>4297.13569351317*(3/4)</f>
        <v>3222.8517701348765</v>
      </c>
    </row>
    <row r="3276" spans="1:2" x14ac:dyDescent="0.3">
      <c r="A3276" s="2">
        <v>45794.416666666657</v>
      </c>
      <c r="B3276">
        <f>4139.78699188222*(3/4)</f>
        <v>3104.8402439116676</v>
      </c>
    </row>
    <row r="3277" spans="1:2" x14ac:dyDescent="0.3">
      <c r="A3277" s="2">
        <v>45794.458333333343</v>
      </c>
      <c r="B3277">
        <f>3898.85701220969*(3/4)</f>
        <v>2924.142759157266</v>
      </c>
    </row>
    <row r="3278" spans="1:2" x14ac:dyDescent="0.3">
      <c r="A3278" s="2">
        <v>45794.5</v>
      </c>
      <c r="B3278">
        <f>3970.26008932023*(3/4)</f>
        <v>2977.6950669901762</v>
      </c>
    </row>
    <row r="3279" spans="1:2" x14ac:dyDescent="0.3">
      <c r="A3279" s="2">
        <v>45794.541666666657</v>
      </c>
      <c r="B3279">
        <f>3999.91031175343*(3/4)</f>
        <v>2999.9327338150724</v>
      </c>
    </row>
    <row r="3280" spans="1:2" x14ac:dyDescent="0.3">
      <c r="A3280" s="2">
        <v>45794.583333333343</v>
      </c>
      <c r="B3280">
        <f>3843.97574792926*(3/4)</f>
        <v>2882.9818109469429</v>
      </c>
    </row>
    <row r="3281" spans="1:2" x14ac:dyDescent="0.3">
      <c r="A3281" s="2">
        <v>45794.625</v>
      </c>
      <c r="B3281">
        <f>4136.20059175485*(3/4)</f>
        <v>3102.1504438161392</v>
      </c>
    </row>
    <row r="3282" spans="1:2" x14ac:dyDescent="0.3">
      <c r="A3282" s="2">
        <v>45794.666666666657</v>
      </c>
      <c r="B3282">
        <f>4104.51145976211*(3/4)</f>
        <v>3078.3835948215801</v>
      </c>
    </row>
    <row r="3283" spans="1:2" x14ac:dyDescent="0.3">
      <c r="A3283" s="2">
        <v>45794.708333333343</v>
      </c>
      <c r="B3283">
        <f>3998.81390655074*(3/4)</f>
        <v>2999.1104299130529</v>
      </c>
    </row>
    <row r="3284" spans="1:2" x14ac:dyDescent="0.3">
      <c r="A3284" s="2">
        <v>45794.75</v>
      </c>
      <c r="B3284">
        <f>4099.52583068032*(3/4)</f>
        <v>3074.6443730102378</v>
      </c>
    </row>
    <row r="3285" spans="1:2" x14ac:dyDescent="0.3">
      <c r="A3285" s="2">
        <v>45794.791666666657</v>
      </c>
      <c r="B3285">
        <f>4283.02941438963*(3/4)</f>
        <v>3212.2720607922256</v>
      </c>
    </row>
    <row r="3286" spans="1:2" x14ac:dyDescent="0.3">
      <c r="A3286" s="2">
        <v>45794.833333333343</v>
      </c>
      <c r="B3286">
        <f>4294.53818047233*(3/4)</f>
        <v>3220.9036353542488</v>
      </c>
    </row>
    <row r="3287" spans="1:2" x14ac:dyDescent="0.3">
      <c r="A3287" s="2">
        <v>45794.875</v>
      </c>
      <c r="B3287">
        <f>3927.09970836335*(3/4)</f>
        <v>2945.324781272514</v>
      </c>
    </row>
    <row r="3288" spans="1:2" x14ac:dyDescent="0.3">
      <c r="A3288" s="2">
        <v>45794.916666666657</v>
      </c>
      <c r="B3288">
        <f>3878.33861853094*(3/4)</f>
        <v>2908.7539638982021</v>
      </c>
    </row>
    <row r="3289" spans="1:2" x14ac:dyDescent="0.3">
      <c r="A3289" s="2">
        <v>45794.958333333343</v>
      </c>
      <c r="B3289">
        <f>3998.20766000055*(3/4)</f>
        <v>2998.6557450004148</v>
      </c>
    </row>
    <row r="3290" spans="1:2" x14ac:dyDescent="0.3">
      <c r="A3290" s="2">
        <v>45795</v>
      </c>
      <c r="B3290">
        <f>4264.2579593459*(3/4)</f>
        <v>3198.1934695094274</v>
      </c>
    </row>
    <row r="3291" spans="1:2" x14ac:dyDescent="0.3">
      <c r="A3291" s="2">
        <v>45795.041666666657</v>
      </c>
      <c r="B3291">
        <f>3708.81947026879*(3/4)</f>
        <v>2781.6146027015893</v>
      </c>
    </row>
    <row r="3292" spans="1:2" x14ac:dyDescent="0.3">
      <c r="A3292" s="2">
        <v>45795.083333333343</v>
      </c>
      <c r="B3292">
        <f>4084.16796267105*(3/4)</f>
        <v>3063.125972003289</v>
      </c>
    </row>
    <row r="3293" spans="1:2" x14ac:dyDescent="0.3">
      <c r="A3293" s="2">
        <v>45795.125</v>
      </c>
      <c r="B3293">
        <f>3713.02920746263*(3/4)</f>
        <v>2784.7719055969765</v>
      </c>
    </row>
    <row r="3294" spans="1:2" x14ac:dyDescent="0.3">
      <c r="A3294" s="2">
        <v>45795.166666666657</v>
      </c>
      <c r="B3294">
        <f>3870.98912055739*(3/4)</f>
        <v>2903.2418404180444</v>
      </c>
    </row>
    <row r="3295" spans="1:2" x14ac:dyDescent="0.3">
      <c r="A3295" s="2">
        <v>45795.208333333343</v>
      </c>
      <c r="B3295">
        <f>4221.17419752632*(3/4)</f>
        <v>3165.88064814474</v>
      </c>
    </row>
    <row r="3296" spans="1:2" x14ac:dyDescent="0.3">
      <c r="A3296" s="2">
        <v>45795.25</v>
      </c>
      <c r="B3296">
        <f>3930.16043038173*(3/4)</f>
        <v>2947.6203227862998</v>
      </c>
    </row>
    <row r="3297" spans="1:2" x14ac:dyDescent="0.3">
      <c r="A3297" s="2">
        <v>45795.291666666657</v>
      </c>
      <c r="B3297">
        <f>4044.77274155317*(3/4)</f>
        <v>3033.5795561648756</v>
      </c>
    </row>
    <row r="3298" spans="1:2" x14ac:dyDescent="0.3">
      <c r="A3298" s="2">
        <v>45795.333333333343</v>
      </c>
      <c r="B3298">
        <f>3272.95111307286*(3/4)</f>
        <v>2454.7133348046477</v>
      </c>
    </row>
    <row r="3299" spans="1:2" x14ac:dyDescent="0.3">
      <c r="A3299" s="2">
        <v>45795.375</v>
      </c>
      <c r="B3299">
        <f>3394.31116910866*(3/4)</f>
        <v>2545.7333768314957</v>
      </c>
    </row>
    <row r="3300" spans="1:2" x14ac:dyDescent="0.3">
      <c r="A3300" s="2">
        <v>45795.416666666657</v>
      </c>
      <c r="B3300">
        <f>3163.73712219332*(3/4)</f>
        <v>2372.8028416449924</v>
      </c>
    </row>
    <row r="3301" spans="1:2" x14ac:dyDescent="0.3">
      <c r="A3301" s="2">
        <v>45795.458333333343</v>
      </c>
      <c r="B3301">
        <f>3370.39871281077*(3/4)</f>
        <v>2527.7990346080746</v>
      </c>
    </row>
    <row r="3302" spans="1:2" x14ac:dyDescent="0.3">
      <c r="A3302" s="2">
        <v>45795.5</v>
      </c>
      <c r="B3302">
        <f>3539.62466250054*(3/4)</f>
        <v>2654.7184968754045</v>
      </c>
    </row>
    <row r="3303" spans="1:2" x14ac:dyDescent="0.3">
      <c r="A3303" s="2">
        <v>45795.541666666657</v>
      </c>
      <c r="B3303">
        <f>3459.52138888422*(3/4)</f>
        <v>2594.6410416631661</v>
      </c>
    </row>
    <row r="3304" spans="1:2" x14ac:dyDescent="0.3">
      <c r="A3304" s="2">
        <v>45795.583333333343</v>
      </c>
      <c r="B3304">
        <f>3028.32098638286*(3/4)</f>
        <v>2271.240739787147</v>
      </c>
    </row>
    <row r="3305" spans="1:2" x14ac:dyDescent="0.3">
      <c r="A3305" s="2">
        <v>45795.625</v>
      </c>
      <c r="B3305">
        <f>3081.13470359641*(3/4)</f>
        <v>2310.8510276973052</v>
      </c>
    </row>
    <row r="3306" spans="1:2" x14ac:dyDescent="0.3">
      <c r="A3306" s="2">
        <v>45795.666666666657</v>
      </c>
      <c r="B3306">
        <f>3600.03187327767*(3/4)</f>
        <v>2700.0239049582519</v>
      </c>
    </row>
    <row r="3307" spans="1:2" x14ac:dyDescent="0.3">
      <c r="A3307" s="2">
        <v>45795.708333333343</v>
      </c>
      <c r="B3307">
        <f>3796.54624461522*(3/4)</f>
        <v>2847.4096834614156</v>
      </c>
    </row>
    <row r="3308" spans="1:2" x14ac:dyDescent="0.3">
      <c r="A3308" s="2">
        <v>45795.75</v>
      </c>
      <c r="B3308">
        <f>4014.16947237422*(3/4)</f>
        <v>3010.6271042806648</v>
      </c>
    </row>
    <row r="3309" spans="1:2" x14ac:dyDescent="0.3">
      <c r="A3309" s="2">
        <v>45795.791666666657</v>
      </c>
      <c r="B3309">
        <f>4030.34645673815*(3/4)</f>
        <v>3022.7598425536103</v>
      </c>
    </row>
    <row r="3310" spans="1:2" x14ac:dyDescent="0.3">
      <c r="A3310" s="2">
        <v>45795.833333333343</v>
      </c>
      <c r="B3310">
        <f>4240.91216048988*(3/4)</f>
        <v>3180.6841203674076</v>
      </c>
    </row>
    <row r="3311" spans="1:2" x14ac:dyDescent="0.3">
      <c r="A3311" s="2">
        <v>45795.875</v>
      </c>
      <c r="B3311">
        <f>3996.58685466376*(3/4)</f>
        <v>2997.4401409978177</v>
      </c>
    </row>
    <row r="3312" spans="1:2" x14ac:dyDescent="0.3">
      <c r="A3312" s="2">
        <v>45795.916666666657</v>
      </c>
      <c r="B3312">
        <f>3793.4030986228*(3/4)</f>
        <v>2845.052323967097</v>
      </c>
    </row>
    <row r="3313" spans="1:2" x14ac:dyDescent="0.3">
      <c r="A3313" s="2">
        <v>45795.958333333343</v>
      </c>
      <c r="B3313">
        <f>3776.27917379037*(3/4)</f>
        <v>2832.2093803427751</v>
      </c>
    </row>
    <row r="3314" spans="1:2" x14ac:dyDescent="0.3">
      <c r="A3314" s="2">
        <v>45796</v>
      </c>
      <c r="B3314">
        <f>4177.16321535394*(3/4)</f>
        <v>3132.8724115154555</v>
      </c>
    </row>
    <row r="3315" spans="1:2" x14ac:dyDescent="0.3">
      <c r="A3315" s="2">
        <v>45796.041666666657</v>
      </c>
      <c r="B3315">
        <f>4148.60734304009*(3/4)</f>
        <v>3111.4555072800663</v>
      </c>
    </row>
    <row r="3316" spans="1:2" x14ac:dyDescent="0.3">
      <c r="A3316" s="2">
        <v>45796.083333333343</v>
      </c>
      <c r="B3316">
        <f>3935.66238895491*(3/4)</f>
        <v>2951.7467917161807</v>
      </c>
    </row>
    <row r="3317" spans="1:2" x14ac:dyDescent="0.3">
      <c r="A3317" s="2">
        <v>45796.125</v>
      </c>
      <c r="B3317">
        <f>3953.04386978382*(3/4)</f>
        <v>2964.7829023378686</v>
      </c>
    </row>
    <row r="3318" spans="1:2" x14ac:dyDescent="0.3">
      <c r="A3318" s="2">
        <v>45796.166666666657</v>
      </c>
      <c r="B3318">
        <f>4205.47294030197*(3/4)</f>
        <v>3154.1047052264803</v>
      </c>
    </row>
    <row r="3319" spans="1:2" x14ac:dyDescent="0.3">
      <c r="A3319" s="2">
        <v>45796.208333333343</v>
      </c>
      <c r="B3319">
        <f>3817.09140390216*(3/4)</f>
        <v>2862.8185529266207</v>
      </c>
    </row>
    <row r="3320" spans="1:2" x14ac:dyDescent="0.3">
      <c r="A3320" s="2">
        <v>45796.25</v>
      </c>
      <c r="B3320">
        <f>3675.11844535979*(3/4)</f>
        <v>2756.3388340198462</v>
      </c>
    </row>
    <row r="3321" spans="1:2" x14ac:dyDescent="0.3">
      <c r="A3321" s="2">
        <v>45796.291666666657</v>
      </c>
      <c r="B3321">
        <f>4013.45870734575*(3/4)</f>
        <v>3010.0940305093131</v>
      </c>
    </row>
    <row r="3322" spans="1:2" x14ac:dyDescent="0.3">
      <c r="A3322" s="2">
        <v>45796.333333333343</v>
      </c>
      <c r="B3322">
        <f>4341.6745799949*(3/4)</f>
        <v>3256.2559349961753</v>
      </c>
    </row>
    <row r="3323" spans="1:2" x14ac:dyDescent="0.3">
      <c r="A3323" s="2">
        <v>45796.375</v>
      </c>
      <c r="B3323">
        <f>3824.10423904314*(3/4)</f>
        <v>2868.0781792823582</v>
      </c>
    </row>
    <row r="3324" spans="1:2" x14ac:dyDescent="0.3">
      <c r="A3324" s="2">
        <v>45796.416666666657</v>
      </c>
      <c r="B3324">
        <f>4079.92573490678*(3/4)</f>
        <v>3059.9443011800886</v>
      </c>
    </row>
    <row r="3325" spans="1:2" x14ac:dyDescent="0.3">
      <c r="A3325" s="2">
        <v>45796.458333333343</v>
      </c>
      <c r="B3325">
        <f>4009.07537862408*(3/4)</f>
        <v>3006.8065339680593</v>
      </c>
    </row>
    <row r="3326" spans="1:2" x14ac:dyDescent="0.3">
      <c r="A3326" s="2">
        <v>45796.5</v>
      </c>
      <c r="B3326">
        <f>4367.44591352011*(3/4)</f>
        <v>3275.5844351400788</v>
      </c>
    </row>
    <row r="3327" spans="1:2" x14ac:dyDescent="0.3">
      <c r="A3327" s="2">
        <v>45796.541666666657</v>
      </c>
      <c r="B3327">
        <f>4185.30873032106*(3/4)</f>
        <v>3138.9815477407938</v>
      </c>
    </row>
    <row r="3328" spans="1:2" x14ac:dyDescent="0.3">
      <c r="A3328" s="2">
        <v>45796.583333333343</v>
      </c>
      <c r="B3328">
        <f>4004.25432325762*(3/4)</f>
        <v>3003.1907424432138</v>
      </c>
    </row>
    <row r="3329" spans="1:2" x14ac:dyDescent="0.3">
      <c r="A3329" s="2">
        <v>45796.625</v>
      </c>
      <c r="B3329">
        <f>4163.12674323538*(3/4)</f>
        <v>3122.3450574265325</v>
      </c>
    </row>
    <row r="3330" spans="1:2" x14ac:dyDescent="0.3">
      <c r="A3330" s="2">
        <v>45796.666666666657</v>
      </c>
      <c r="B3330">
        <f>4063.46582469982*(3/4)</f>
        <v>3047.5993685248627</v>
      </c>
    </row>
    <row r="3331" spans="1:2" x14ac:dyDescent="0.3">
      <c r="A3331" s="2">
        <v>45796.708333333343</v>
      </c>
      <c r="B3331">
        <f>4150.86845982713*(3/4)</f>
        <v>3113.1513448703445</v>
      </c>
    </row>
    <row r="3332" spans="1:2" x14ac:dyDescent="0.3">
      <c r="A3332" s="2">
        <v>45796.75</v>
      </c>
      <c r="B3332">
        <f>3710.38818288628*(3/4)</f>
        <v>2782.7911371647078</v>
      </c>
    </row>
    <row r="3333" spans="1:2" x14ac:dyDescent="0.3">
      <c r="A3333" s="2">
        <v>45796.791666666657</v>
      </c>
      <c r="B3333">
        <f>3904.40460003204*(3/4)</f>
        <v>2928.3034500240324</v>
      </c>
    </row>
    <row r="3334" spans="1:2" x14ac:dyDescent="0.3">
      <c r="A3334" s="2">
        <v>45796.833333333343</v>
      </c>
      <c r="B3334">
        <f>3714.96376075029*(3/4)</f>
        <v>2786.2228205627139</v>
      </c>
    </row>
    <row r="3335" spans="1:2" x14ac:dyDescent="0.3">
      <c r="A3335" s="2">
        <v>45796.875</v>
      </c>
      <c r="B3335">
        <f>3989.87261663707*(3/4)</f>
        <v>2992.4044624778003</v>
      </c>
    </row>
    <row r="3336" spans="1:2" x14ac:dyDescent="0.3">
      <c r="A3336" s="2">
        <v>45796.916666666657</v>
      </c>
      <c r="B3336">
        <f>3645.90912987049*(3/4)</f>
        <v>2734.4318474028673</v>
      </c>
    </row>
    <row r="3337" spans="1:2" x14ac:dyDescent="0.3">
      <c r="A3337" s="2">
        <v>45796.958333333343</v>
      </c>
      <c r="B3337">
        <f>4118.23261393374*(3/4)</f>
        <v>3088.6744604503019</v>
      </c>
    </row>
    <row r="3338" spans="1:2" x14ac:dyDescent="0.3">
      <c r="A3338" s="2">
        <v>45797</v>
      </c>
      <c r="B3338">
        <f>3896.13120907251*(3/4)</f>
        <v>2922.0984068043854</v>
      </c>
    </row>
    <row r="3339" spans="1:2" x14ac:dyDescent="0.3">
      <c r="A3339" s="2">
        <v>45797.041666666657</v>
      </c>
      <c r="B3339">
        <f>4016.86470709743*(3/4)</f>
        <v>3012.6485303230716</v>
      </c>
    </row>
    <row r="3340" spans="1:2" x14ac:dyDescent="0.3">
      <c r="A3340" s="2">
        <v>45797.083333333343</v>
      </c>
      <c r="B3340">
        <f>3794.95411868196*(3/4)</f>
        <v>2846.2155890114673</v>
      </c>
    </row>
    <row r="3341" spans="1:2" x14ac:dyDescent="0.3">
      <c r="A3341" s="2">
        <v>45797.125</v>
      </c>
      <c r="B3341">
        <f>4094.96904815613*(3/4)</f>
        <v>3071.2267861170953</v>
      </c>
    </row>
    <row r="3342" spans="1:2" x14ac:dyDescent="0.3">
      <c r="A3342" s="2">
        <v>45797.166666666657</v>
      </c>
      <c r="B3342">
        <f>4123.15934877841*(3/4)</f>
        <v>3092.3695115838104</v>
      </c>
    </row>
    <row r="3343" spans="1:2" x14ac:dyDescent="0.3">
      <c r="A3343" s="2">
        <v>45797.208333333343</v>
      </c>
      <c r="B3343">
        <f>3787.15270258175*(3/4)</f>
        <v>2840.364526936316</v>
      </c>
    </row>
    <row r="3344" spans="1:2" x14ac:dyDescent="0.3">
      <c r="A3344" s="2">
        <v>45797.25</v>
      </c>
      <c r="B3344">
        <f>3552.71485495219*(3/4)</f>
        <v>2664.5361412141397</v>
      </c>
    </row>
    <row r="3345" spans="1:2" x14ac:dyDescent="0.3">
      <c r="A3345" s="2">
        <v>45797.291666666657</v>
      </c>
      <c r="B3345">
        <f>4010.27847545037*(3/4)</f>
        <v>3007.7088565877762</v>
      </c>
    </row>
    <row r="3346" spans="1:2" x14ac:dyDescent="0.3">
      <c r="A3346" s="2">
        <v>45797.333333333343</v>
      </c>
      <c r="B3346">
        <f>4299.62836247413*(3/4)</f>
        <v>3224.7212718556002</v>
      </c>
    </row>
    <row r="3347" spans="1:2" x14ac:dyDescent="0.3">
      <c r="A3347" s="2">
        <v>45797.375</v>
      </c>
      <c r="B3347">
        <f>3850.81147731224*(3/4)</f>
        <v>2888.1086079841762</v>
      </c>
    </row>
    <row r="3348" spans="1:2" x14ac:dyDescent="0.3">
      <c r="A3348" s="2">
        <v>45797.416666666657</v>
      </c>
      <c r="B3348">
        <f>3981.53537541962*(3/4)</f>
        <v>2986.151531564713</v>
      </c>
    </row>
    <row r="3349" spans="1:2" x14ac:dyDescent="0.3">
      <c r="A3349" s="2">
        <v>45797.458333333343</v>
      </c>
      <c r="B3349">
        <f>4094.75051495499*(3/4)</f>
        <v>3071.0628862162416</v>
      </c>
    </row>
    <row r="3350" spans="1:2" x14ac:dyDescent="0.3">
      <c r="A3350" s="2">
        <v>45797.5</v>
      </c>
      <c r="B3350">
        <f>4442.23383607787*(3/4)</f>
        <v>3331.6753770584064</v>
      </c>
    </row>
    <row r="3351" spans="1:2" x14ac:dyDescent="0.3">
      <c r="A3351" s="2">
        <v>45797.541666666657</v>
      </c>
      <c r="B3351">
        <f>3947.4865425973*(3/4)</f>
        <v>2960.6149069479729</v>
      </c>
    </row>
    <row r="3352" spans="1:2" x14ac:dyDescent="0.3">
      <c r="A3352" s="2">
        <v>45797.583333333343</v>
      </c>
      <c r="B3352">
        <f>3960.75278559624*(3/4)</f>
        <v>2970.5645891971808</v>
      </c>
    </row>
    <row r="3353" spans="1:2" x14ac:dyDescent="0.3">
      <c r="A3353" s="2">
        <v>45797.625</v>
      </c>
      <c r="B3353">
        <f>3861.89571168696*(3/4)</f>
        <v>2896.4217837652186</v>
      </c>
    </row>
    <row r="3354" spans="1:2" x14ac:dyDescent="0.3">
      <c r="A3354" s="2">
        <v>45797.666666666657</v>
      </c>
      <c r="B3354">
        <f>4153.79106924084*(3/4)</f>
        <v>3115.343301930629</v>
      </c>
    </row>
    <row r="3355" spans="1:2" x14ac:dyDescent="0.3">
      <c r="A3355" s="2">
        <v>45797.708333333343</v>
      </c>
      <c r="B3355">
        <f>3943.44524270362*(3/4)</f>
        <v>2957.5839320277137</v>
      </c>
    </row>
    <row r="3356" spans="1:2" x14ac:dyDescent="0.3">
      <c r="A3356" s="2">
        <v>45797.75</v>
      </c>
      <c r="B3356">
        <f>4099.78825178582*(3/4)</f>
        <v>3074.8411888393639</v>
      </c>
    </row>
    <row r="3357" spans="1:2" x14ac:dyDescent="0.3">
      <c r="A3357" s="2">
        <v>45797.791666666657</v>
      </c>
      <c r="B3357">
        <f>3901.08318434922*(3/4)</f>
        <v>2925.8123882619134</v>
      </c>
    </row>
    <row r="3358" spans="1:2" x14ac:dyDescent="0.3">
      <c r="A3358" s="2">
        <v>45797.833333333343</v>
      </c>
      <c r="B3358">
        <f>4388.62698537661*(3/4)</f>
        <v>3291.4702390324555</v>
      </c>
    </row>
    <row r="3359" spans="1:2" x14ac:dyDescent="0.3">
      <c r="A3359" s="2">
        <v>45797.875</v>
      </c>
      <c r="B3359">
        <f>3825.76317185716*(3/4)</f>
        <v>2869.3223788928722</v>
      </c>
    </row>
    <row r="3360" spans="1:2" x14ac:dyDescent="0.3">
      <c r="A3360" s="2">
        <v>45797.916666666657</v>
      </c>
      <c r="B3360">
        <f>3976.82972940005*(3/4)</f>
        <v>2982.6222970500412</v>
      </c>
    </row>
    <row r="3361" spans="1:2" x14ac:dyDescent="0.3">
      <c r="A3361" s="2">
        <v>45797.958333333343</v>
      </c>
      <c r="B3361">
        <f>3922.32098363606*(3/4)</f>
        <v>2941.7407377270465</v>
      </c>
    </row>
    <row r="3362" spans="1:2" x14ac:dyDescent="0.3">
      <c r="A3362" s="2">
        <v>45798</v>
      </c>
      <c r="B3362">
        <f>3923.91797098133*(3/4)</f>
        <v>2942.9384782359957</v>
      </c>
    </row>
    <row r="3363" spans="1:2" x14ac:dyDescent="0.3">
      <c r="A3363" s="2">
        <v>45798.041666666657</v>
      </c>
      <c r="B3363">
        <f>3627.02689405151*(3/4)</f>
        <v>2720.2701705386335</v>
      </c>
    </row>
    <row r="3364" spans="1:2" x14ac:dyDescent="0.3">
      <c r="A3364" s="2">
        <v>45798.083333333343</v>
      </c>
      <c r="B3364">
        <f>3888.32317739213*(3/4)</f>
        <v>2916.2423830440998</v>
      </c>
    </row>
    <row r="3365" spans="1:2" x14ac:dyDescent="0.3">
      <c r="A3365" s="2">
        <v>45798.125</v>
      </c>
      <c r="B3365">
        <f>3790.15224304312*(3/4)</f>
        <v>2842.6141822823365</v>
      </c>
    </row>
    <row r="3366" spans="1:2" x14ac:dyDescent="0.3">
      <c r="A3366" s="2">
        <v>45798.166666666657</v>
      </c>
      <c r="B3366">
        <f>3785.01320688138*(3/4)</f>
        <v>2838.7599051610364</v>
      </c>
    </row>
    <row r="3367" spans="1:2" x14ac:dyDescent="0.3">
      <c r="A3367" s="2">
        <v>45798.208333333343</v>
      </c>
      <c r="B3367">
        <f>3780.52009016958*(3/4)</f>
        <v>2835.3900676271833</v>
      </c>
    </row>
    <row r="3368" spans="1:2" x14ac:dyDescent="0.3">
      <c r="A3368" s="2">
        <v>45798.25</v>
      </c>
      <c r="B3368">
        <f>3612.40257456587*(3/4)</f>
        <v>2709.3019309244037</v>
      </c>
    </row>
    <row r="3369" spans="1:2" x14ac:dyDescent="0.3">
      <c r="A3369" s="2">
        <v>45798.291666666657</v>
      </c>
      <c r="B3369">
        <f>3948.45274147835*(3/4)</f>
        <v>2961.3395561087618</v>
      </c>
    </row>
    <row r="3370" spans="1:2" x14ac:dyDescent="0.3">
      <c r="A3370" s="2">
        <v>45798.333333333343</v>
      </c>
      <c r="B3370">
        <f>4234.57444760271*(3/4)</f>
        <v>3175.9308357020354</v>
      </c>
    </row>
    <row r="3371" spans="1:2" x14ac:dyDescent="0.3">
      <c r="A3371" s="2">
        <v>45798.375</v>
      </c>
      <c r="B3371">
        <f>3975.65190179005*(3/4)</f>
        <v>2981.7389263425353</v>
      </c>
    </row>
    <row r="3372" spans="1:2" x14ac:dyDescent="0.3">
      <c r="A3372" s="2">
        <v>45798.416666666657</v>
      </c>
      <c r="B3372">
        <f>4211.29616928584*(3/4)</f>
        <v>3158.4721269643792</v>
      </c>
    </row>
    <row r="3373" spans="1:2" x14ac:dyDescent="0.3">
      <c r="A3373" s="2">
        <v>45798.458333333343</v>
      </c>
      <c r="B3373">
        <f>4010.56858150552*(3/4)</f>
        <v>3007.926436129143</v>
      </c>
    </row>
    <row r="3374" spans="1:2" x14ac:dyDescent="0.3">
      <c r="A3374" s="2">
        <v>45798.5</v>
      </c>
      <c r="B3374">
        <f>3931.27416617158*(3/4)</f>
        <v>2948.4556246286847</v>
      </c>
    </row>
    <row r="3375" spans="1:2" x14ac:dyDescent="0.3">
      <c r="A3375" s="2">
        <v>45798.541666666657</v>
      </c>
      <c r="B3375">
        <f>3866.05528624315*(3/4)</f>
        <v>2899.5414646823588</v>
      </c>
    </row>
    <row r="3376" spans="1:2" x14ac:dyDescent="0.3">
      <c r="A3376" s="2">
        <v>45798.583333333343</v>
      </c>
      <c r="B3376">
        <f>3982.50829682238*(3/4)</f>
        <v>2986.8812226167811</v>
      </c>
    </row>
    <row r="3377" spans="1:2" x14ac:dyDescent="0.3">
      <c r="A3377" s="2">
        <v>45798.625</v>
      </c>
      <c r="B3377">
        <f>3793.50632152344*(3/4)</f>
        <v>2845.1297411425799</v>
      </c>
    </row>
    <row r="3378" spans="1:2" x14ac:dyDescent="0.3">
      <c r="A3378" s="2">
        <v>45798.666666666657</v>
      </c>
      <c r="B3378">
        <f>4293.04240801245*(3/4)</f>
        <v>3219.7818060093405</v>
      </c>
    </row>
    <row r="3379" spans="1:2" x14ac:dyDescent="0.3">
      <c r="A3379" s="2">
        <v>45798.708333333343</v>
      </c>
      <c r="B3379">
        <f>3905.16826993865*(3/4)</f>
        <v>2928.8762024539874</v>
      </c>
    </row>
    <row r="3380" spans="1:2" x14ac:dyDescent="0.3">
      <c r="A3380" s="2">
        <v>45798.75</v>
      </c>
      <c r="B3380">
        <f>4073.71623198275*(3/4)</f>
        <v>3055.2871739870643</v>
      </c>
    </row>
    <row r="3381" spans="1:2" x14ac:dyDescent="0.3">
      <c r="A3381" s="2">
        <v>45798.791666666657</v>
      </c>
      <c r="B3381">
        <f>4106.92631714052*(3/4)</f>
        <v>3080.19473785539</v>
      </c>
    </row>
    <row r="3382" spans="1:2" x14ac:dyDescent="0.3">
      <c r="A3382" s="2">
        <v>45798.833333333343</v>
      </c>
      <c r="B3382">
        <f>3954.50220172952*(3/4)</f>
        <v>2965.8766512971424</v>
      </c>
    </row>
    <row r="3383" spans="1:2" x14ac:dyDescent="0.3">
      <c r="A3383" s="2">
        <v>45798.875</v>
      </c>
      <c r="B3383">
        <f>3986.26134907435*(3/4)</f>
        <v>2989.6960118057609</v>
      </c>
    </row>
    <row r="3384" spans="1:2" x14ac:dyDescent="0.3">
      <c r="A3384" s="2">
        <v>45798.916666666657</v>
      </c>
      <c r="B3384">
        <f>3872.20296486065*(3/4)</f>
        <v>2904.1522236454844</v>
      </c>
    </row>
    <row r="3385" spans="1:2" x14ac:dyDescent="0.3">
      <c r="A3385" s="2">
        <v>45798.958333333343</v>
      </c>
      <c r="B3385">
        <f>3829.76947116506*(3/4)</f>
        <v>2872.3271033737933</v>
      </c>
    </row>
    <row r="3386" spans="1:2" x14ac:dyDescent="0.3">
      <c r="A3386" s="2">
        <v>45799</v>
      </c>
      <c r="B3386">
        <f>4080.54462094214*(3/4)</f>
        <v>3060.4084657066032</v>
      </c>
    </row>
    <row r="3387" spans="1:2" x14ac:dyDescent="0.3">
      <c r="A3387" s="2">
        <v>45799.041666666657</v>
      </c>
      <c r="B3387">
        <f>3684.05886711155*(3/4)</f>
        <v>2763.0441503336647</v>
      </c>
    </row>
    <row r="3388" spans="1:2" x14ac:dyDescent="0.3">
      <c r="A3388" s="2">
        <v>45799.083333333343</v>
      </c>
      <c r="B3388">
        <f>3812.45391883477*(3/4)</f>
        <v>2859.3404391260774</v>
      </c>
    </row>
    <row r="3389" spans="1:2" x14ac:dyDescent="0.3">
      <c r="A3389" s="2">
        <v>45799.125</v>
      </c>
      <c r="B3389">
        <f>3909.85558455352*(3/4)</f>
        <v>2932.3916884151363</v>
      </c>
    </row>
    <row r="3390" spans="1:2" x14ac:dyDescent="0.3">
      <c r="A3390" s="2">
        <v>45799.166666666657</v>
      </c>
      <c r="B3390">
        <f>4246.13436909392*(3/4)</f>
        <v>3184.6007768204367</v>
      </c>
    </row>
    <row r="3391" spans="1:2" x14ac:dyDescent="0.3">
      <c r="A3391" s="2">
        <v>45799.208333333343</v>
      </c>
      <c r="B3391">
        <f>3877.81205853773*(3/4)</f>
        <v>2908.359043903296</v>
      </c>
    </row>
    <row r="3392" spans="1:2" x14ac:dyDescent="0.3">
      <c r="A3392" s="2">
        <v>45799.25</v>
      </c>
      <c r="B3392">
        <f>3927.76848489097*(3/4)</f>
        <v>2945.8263636682245</v>
      </c>
    </row>
    <row r="3393" spans="1:2" x14ac:dyDescent="0.3">
      <c r="A3393" s="2">
        <v>45799.291666666657</v>
      </c>
      <c r="B3393">
        <f>4163.36870230281*(3/4)</f>
        <v>3122.5265267271038</v>
      </c>
    </row>
    <row r="3394" spans="1:2" x14ac:dyDescent="0.3">
      <c r="A3394" s="2">
        <v>45799.333333333343</v>
      </c>
      <c r="B3394">
        <f>4143.76491847501*(3/4)</f>
        <v>3107.8236888562597</v>
      </c>
    </row>
    <row r="3395" spans="1:2" x14ac:dyDescent="0.3">
      <c r="A3395" s="2">
        <v>45799.375</v>
      </c>
      <c r="B3395">
        <f>3993.57958287336*(3/4)</f>
        <v>2995.1846871550192</v>
      </c>
    </row>
    <row r="3396" spans="1:2" x14ac:dyDescent="0.3">
      <c r="A3396" s="2">
        <v>45799.416666666657</v>
      </c>
      <c r="B3396">
        <f>4181.49263690125*(3/4)</f>
        <v>3136.1194776759403</v>
      </c>
    </row>
    <row r="3397" spans="1:2" x14ac:dyDescent="0.3">
      <c r="A3397" s="2">
        <v>45799.458333333343</v>
      </c>
      <c r="B3397">
        <f>4002.10107882478*(3/4)</f>
        <v>3001.575809118588</v>
      </c>
    </row>
    <row r="3398" spans="1:2" x14ac:dyDescent="0.3">
      <c r="A3398" s="2">
        <v>45799.5</v>
      </c>
      <c r="B3398">
        <f>4028.69071725537*(3/4)</f>
        <v>3021.5180379415251</v>
      </c>
    </row>
    <row r="3399" spans="1:2" x14ac:dyDescent="0.3">
      <c r="A3399" s="2">
        <v>45799.541666666657</v>
      </c>
      <c r="B3399">
        <f>3984.85017671604*(3/4)</f>
        <v>2988.6376325370329</v>
      </c>
    </row>
    <row r="3400" spans="1:2" x14ac:dyDescent="0.3">
      <c r="A3400" s="2">
        <v>45799.583333333343</v>
      </c>
      <c r="B3400">
        <f>4013.87371409419*(3/4)</f>
        <v>3010.4052855706423</v>
      </c>
    </row>
    <row r="3401" spans="1:2" x14ac:dyDescent="0.3">
      <c r="A3401" s="2">
        <v>45799.625</v>
      </c>
      <c r="B3401">
        <f>4046.10650319386*(3/4)</f>
        <v>3034.579877395392</v>
      </c>
    </row>
    <row r="3402" spans="1:2" x14ac:dyDescent="0.3">
      <c r="A3402" s="2">
        <v>45799.666666666657</v>
      </c>
      <c r="B3402">
        <f>4020.39292495434*(3/4)</f>
        <v>3015.2946937157521</v>
      </c>
    </row>
    <row r="3403" spans="1:2" x14ac:dyDescent="0.3">
      <c r="A3403" s="2">
        <v>45799.708333333343</v>
      </c>
      <c r="B3403">
        <f>4197.00011156732*(3/4)</f>
        <v>3147.7500836754907</v>
      </c>
    </row>
    <row r="3404" spans="1:2" x14ac:dyDescent="0.3">
      <c r="A3404" s="2">
        <v>45799.75</v>
      </c>
      <c r="B3404">
        <f>4197.01218213308*(3/4)</f>
        <v>3147.7591365998132</v>
      </c>
    </row>
    <row r="3405" spans="1:2" x14ac:dyDescent="0.3">
      <c r="A3405" s="2">
        <v>45799.791666666657</v>
      </c>
      <c r="B3405">
        <f>3942.42520229019*(3/4)</f>
        <v>2956.818901717641</v>
      </c>
    </row>
    <row r="3406" spans="1:2" x14ac:dyDescent="0.3">
      <c r="A3406" s="2">
        <v>45799.833333333343</v>
      </c>
      <c r="B3406">
        <f>3788.81691300755*(3/4)</f>
        <v>2841.6126847556611</v>
      </c>
    </row>
    <row r="3407" spans="1:2" x14ac:dyDescent="0.3">
      <c r="A3407" s="2">
        <v>45799.875</v>
      </c>
      <c r="B3407">
        <f>4236.04599367441*(3/4)</f>
        <v>3177.0344952558071</v>
      </c>
    </row>
    <row r="3408" spans="1:2" x14ac:dyDescent="0.3">
      <c r="A3408" s="2">
        <v>45799.916666666657</v>
      </c>
      <c r="B3408">
        <f>3766.73746595874*(3/4)</f>
        <v>2825.0530994690589</v>
      </c>
    </row>
    <row r="3409" spans="1:2" x14ac:dyDescent="0.3">
      <c r="A3409" s="2">
        <v>45799.958333333343</v>
      </c>
      <c r="B3409">
        <f>3833.65103212264*(3/4)</f>
        <v>2875.2382740919816</v>
      </c>
    </row>
    <row r="3410" spans="1:2" x14ac:dyDescent="0.3">
      <c r="A3410" s="2">
        <v>45800</v>
      </c>
      <c r="B3410">
        <f>4246.24529328774*(3/4)</f>
        <v>3184.6839699658067</v>
      </c>
    </row>
    <row r="3411" spans="1:2" x14ac:dyDescent="0.3">
      <c r="A3411" s="2">
        <v>45800.041666666657</v>
      </c>
      <c r="B3411">
        <f>3782.64687522964*(3/4)</f>
        <v>2836.9851564222263</v>
      </c>
    </row>
    <row r="3412" spans="1:2" x14ac:dyDescent="0.3">
      <c r="A3412" s="2">
        <v>45800.083333333343</v>
      </c>
      <c r="B3412">
        <f>3963.16876840944*(3/4)</f>
        <v>2972.3765763070833</v>
      </c>
    </row>
    <row r="3413" spans="1:2" x14ac:dyDescent="0.3">
      <c r="A3413" s="2">
        <v>45800.125</v>
      </c>
      <c r="B3413">
        <f>3644.33513997241*(3/4)</f>
        <v>2733.2513549793089</v>
      </c>
    </row>
    <row r="3414" spans="1:2" x14ac:dyDescent="0.3">
      <c r="A3414" s="2">
        <v>45800.166666666657</v>
      </c>
      <c r="B3414">
        <f>3866.18215811686*(3/4)</f>
        <v>2899.6366185876441</v>
      </c>
    </row>
    <row r="3415" spans="1:2" x14ac:dyDescent="0.3">
      <c r="A3415" s="2">
        <v>45800.208333333343</v>
      </c>
      <c r="B3415">
        <f>3876.25165825111*(3/4)</f>
        <v>2907.1887436883303</v>
      </c>
    </row>
    <row r="3416" spans="1:2" x14ac:dyDescent="0.3">
      <c r="A3416" s="2">
        <v>45800.25</v>
      </c>
      <c r="B3416">
        <f>3717.11448152177*(3/4)</f>
        <v>2787.8358611413296</v>
      </c>
    </row>
    <row r="3417" spans="1:2" x14ac:dyDescent="0.3">
      <c r="A3417" s="2">
        <v>45800.291666666657</v>
      </c>
      <c r="B3417">
        <f>3873.39660774688*(3/4)</f>
        <v>2905.0474558101587</v>
      </c>
    </row>
    <row r="3418" spans="1:2" x14ac:dyDescent="0.3">
      <c r="A3418" s="2">
        <v>45800.333333333343</v>
      </c>
      <c r="B3418">
        <f>3835.2375690764*(3/4)</f>
        <v>2876.4281768072983</v>
      </c>
    </row>
    <row r="3419" spans="1:2" x14ac:dyDescent="0.3">
      <c r="A3419" s="2">
        <v>45800.375</v>
      </c>
      <c r="B3419">
        <f>4145.39034814144*(3/4)</f>
        <v>3109.0427611060804</v>
      </c>
    </row>
    <row r="3420" spans="1:2" x14ac:dyDescent="0.3">
      <c r="A3420" s="2">
        <v>45800.416666666657</v>
      </c>
      <c r="B3420">
        <f>4099.22663086279*(3/4)</f>
        <v>3074.4199731470894</v>
      </c>
    </row>
    <row r="3421" spans="1:2" x14ac:dyDescent="0.3">
      <c r="A3421" s="2">
        <v>45800.458333333343</v>
      </c>
      <c r="B3421">
        <f>4215.04047121828*(3/4)</f>
        <v>3161.2803534137065</v>
      </c>
    </row>
    <row r="3422" spans="1:2" x14ac:dyDescent="0.3">
      <c r="A3422" s="2">
        <v>45800.5</v>
      </c>
      <c r="B3422">
        <f>3823.71215774917*(3/4)</f>
        <v>2867.7841183118803</v>
      </c>
    </row>
    <row r="3423" spans="1:2" x14ac:dyDescent="0.3">
      <c r="A3423" s="2">
        <v>45800.541666666657</v>
      </c>
      <c r="B3423">
        <f>3895.62493032978*(3/4)</f>
        <v>2921.718697747332</v>
      </c>
    </row>
    <row r="3424" spans="1:2" x14ac:dyDescent="0.3">
      <c r="A3424" s="2">
        <v>45800.583333333343</v>
      </c>
      <c r="B3424">
        <f>3912.0125690543*(3/4)</f>
        <v>2934.0094267907225</v>
      </c>
    </row>
    <row r="3425" spans="1:2" x14ac:dyDescent="0.3">
      <c r="A3425" s="2">
        <v>45800.625</v>
      </c>
      <c r="B3425">
        <f>4017.56966983223*(3/4)</f>
        <v>3013.1772523741693</v>
      </c>
    </row>
    <row r="3426" spans="1:2" x14ac:dyDescent="0.3">
      <c r="A3426" s="2">
        <v>45800.666666666657</v>
      </c>
      <c r="B3426">
        <f>3967.91742251304*(3/4)</f>
        <v>2975.9380668847762</v>
      </c>
    </row>
    <row r="3427" spans="1:2" x14ac:dyDescent="0.3">
      <c r="A3427" s="2">
        <v>45800.708333333343</v>
      </c>
      <c r="B3427">
        <f>4213.22856322327*(3/4)</f>
        <v>3159.921422417452</v>
      </c>
    </row>
    <row r="3428" spans="1:2" x14ac:dyDescent="0.3">
      <c r="A3428" s="2">
        <v>45800.75</v>
      </c>
      <c r="B3428">
        <f>4095.31952660818*(3/4)</f>
        <v>3071.4896449561334</v>
      </c>
    </row>
    <row r="3429" spans="1:2" x14ac:dyDescent="0.3">
      <c r="A3429" s="2">
        <v>45800.791666666657</v>
      </c>
      <c r="B3429">
        <f>3865.47933621972*(3/4)</f>
        <v>2899.109502164787</v>
      </c>
    </row>
    <row r="3430" spans="1:2" x14ac:dyDescent="0.3">
      <c r="A3430" s="2">
        <v>45800.833333333343</v>
      </c>
      <c r="B3430">
        <f>4212.67474869377*(3/4)</f>
        <v>3159.506061520327</v>
      </c>
    </row>
    <row r="3431" spans="1:2" x14ac:dyDescent="0.3">
      <c r="A3431" s="2">
        <v>45800.875</v>
      </c>
      <c r="B3431">
        <f>4192.76158001517*(3/4)</f>
        <v>3144.5711850113739</v>
      </c>
    </row>
    <row r="3432" spans="1:2" x14ac:dyDescent="0.3">
      <c r="A3432" s="2">
        <v>45800.916666666657</v>
      </c>
      <c r="B3432">
        <f>3876.94952313281*(3/4)</f>
        <v>2907.7121423496051</v>
      </c>
    </row>
    <row r="3433" spans="1:2" x14ac:dyDescent="0.3">
      <c r="A3433" s="2">
        <v>45800.958333333343</v>
      </c>
      <c r="B3433">
        <f>3942.53622233086*(3/4)</f>
        <v>2956.9021667481443</v>
      </c>
    </row>
    <row r="3434" spans="1:2" x14ac:dyDescent="0.3">
      <c r="A3434" s="2">
        <v>45801</v>
      </c>
      <c r="B3434">
        <f>3725.47256960769*(3/4)</f>
        <v>2794.1044272057698</v>
      </c>
    </row>
    <row r="3435" spans="1:2" x14ac:dyDescent="0.3">
      <c r="A3435" s="2">
        <v>45801.041666666657</v>
      </c>
      <c r="B3435">
        <f>3982.49499289577*(3/4)</f>
        <v>2986.8712446718282</v>
      </c>
    </row>
    <row r="3436" spans="1:2" x14ac:dyDescent="0.3">
      <c r="A3436" s="2">
        <v>45801.083333333343</v>
      </c>
      <c r="B3436">
        <f>4036.29307030739*(3/4)</f>
        <v>3027.2198027305421</v>
      </c>
    </row>
    <row r="3437" spans="1:2" x14ac:dyDescent="0.3">
      <c r="A3437" s="2">
        <v>45801.125</v>
      </c>
      <c r="B3437">
        <f>3929.71457109589*(3/4)</f>
        <v>2947.2859283219195</v>
      </c>
    </row>
    <row r="3438" spans="1:2" x14ac:dyDescent="0.3">
      <c r="A3438" s="2">
        <v>45801.166666666657</v>
      </c>
      <c r="B3438">
        <f>4091.01545588175*(3/4)</f>
        <v>3068.2615919113141</v>
      </c>
    </row>
    <row r="3439" spans="1:2" x14ac:dyDescent="0.3">
      <c r="A3439" s="2">
        <v>45801.208333333343</v>
      </c>
      <c r="B3439">
        <f>3939.21706534659*(3/4)</f>
        <v>2954.4127990099419</v>
      </c>
    </row>
    <row r="3440" spans="1:2" x14ac:dyDescent="0.3">
      <c r="A3440" s="2">
        <v>45801.25</v>
      </c>
      <c r="B3440">
        <f>3518.58541371114*(3/4)</f>
        <v>2638.9390602833528</v>
      </c>
    </row>
    <row r="3441" spans="1:2" x14ac:dyDescent="0.3">
      <c r="A3441" s="2">
        <v>45801.291666666657</v>
      </c>
      <c r="B3441">
        <f>3985.90032264317*(3/4)</f>
        <v>2989.4252419823761</v>
      </c>
    </row>
    <row r="3442" spans="1:2" x14ac:dyDescent="0.3">
      <c r="A3442" s="2">
        <v>45801.333333333343</v>
      </c>
      <c r="B3442">
        <f>3882.48912714286*(3/4)</f>
        <v>2911.8668453571418</v>
      </c>
    </row>
    <row r="3443" spans="1:2" x14ac:dyDescent="0.3">
      <c r="A3443" s="2">
        <v>45801.375</v>
      </c>
      <c r="B3443">
        <f>4181.49683417146*(3/4)</f>
        <v>3136.1226256285927</v>
      </c>
    </row>
    <row r="3444" spans="1:2" x14ac:dyDescent="0.3">
      <c r="A3444" s="2">
        <v>45801.416666666657</v>
      </c>
      <c r="B3444">
        <f>3946.07650605387*(3/4)</f>
        <v>2959.5573795403989</v>
      </c>
    </row>
    <row r="3445" spans="1:2" x14ac:dyDescent="0.3">
      <c r="A3445" s="2">
        <v>45801.458333333343</v>
      </c>
      <c r="B3445">
        <f>4191.3758966135*(3/4)</f>
        <v>3143.531922460128</v>
      </c>
    </row>
    <row r="3446" spans="1:2" x14ac:dyDescent="0.3">
      <c r="A3446" s="2">
        <v>45801.5</v>
      </c>
      <c r="B3446">
        <f>4319.49409739552*(3/4)</f>
        <v>3239.6205730466413</v>
      </c>
    </row>
    <row r="3447" spans="1:2" x14ac:dyDescent="0.3">
      <c r="A3447" s="2">
        <v>45801.541666666657</v>
      </c>
      <c r="B3447">
        <f>4168.77985213977*(3/4)</f>
        <v>3126.5848891048267</v>
      </c>
    </row>
    <row r="3448" spans="1:2" x14ac:dyDescent="0.3">
      <c r="A3448" s="2">
        <v>45801.583333333343</v>
      </c>
      <c r="B3448">
        <f>3760.05672493913*(3/4)</f>
        <v>2820.042543704345</v>
      </c>
    </row>
    <row r="3449" spans="1:2" x14ac:dyDescent="0.3">
      <c r="A3449" s="2">
        <v>45801.625</v>
      </c>
      <c r="B3449">
        <f>4180.95865299578*(3/4)</f>
        <v>3135.7189897468343</v>
      </c>
    </row>
    <row r="3450" spans="1:2" x14ac:dyDescent="0.3">
      <c r="A3450" s="2">
        <v>45801.666666666657</v>
      </c>
      <c r="B3450">
        <f>3876.13302311333*(3/4)</f>
        <v>2907.0997673350003</v>
      </c>
    </row>
    <row r="3451" spans="1:2" x14ac:dyDescent="0.3">
      <c r="A3451" s="2">
        <v>45801.708333333343</v>
      </c>
      <c r="B3451">
        <f>4041.45369932053*(3/4)</f>
        <v>3031.0902744903997</v>
      </c>
    </row>
    <row r="3452" spans="1:2" x14ac:dyDescent="0.3">
      <c r="A3452" s="2">
        <v>45801.75</v>
      </c>
      <c r="B3452">
        <f>3875.52356426296*(3/4)</f>
        <v>2906.6426731972169</v>
      </c>
    </row>
    <row r="3453" spans="1:2" x14ac:dyDescent="0.3">
      <c r="A3453" s="2">
        <v>45801.791666666657</v>
      </c>
      <c r="B3453">
        <f>4284.67914470806*(3/4)</f>
        <v>3213.5093585310433</v>
      </c>
    </row>
    <row r="3454" spans="1:2" x14ac:dyDescent="0.3">
      <c r="A3454" s="2">
        <v>45801.833333333343</v>
      </c>
      <c r="B3454">
        <f>3722.42445859009*(3/4)</f>
        <v>2791.8183439425688</v>
      </c>
    </row>
    <row r="3455" spans="1:2" x14ac:dyDescent="0.3">
      <c r="A3455" s="2">
        <v>45801.875</v>
      </c>
      <c r="B3455">
        <f>3867.85348766186*(3/4)</f>
        <v>2900.8901157463979</v>
      </c>
    </row>
    <row r="3456" spans="1:2" x14ac:dyDescent="0.3">
      <c r="A3456" s="2">
        <v>45801.916666666657</v>
      </c>
      <c r="B3456">
        <f>3653.15566720667*(3/4)</f>
        <v>2739.8667504050009</v>
      </c>
    </row>
    <row r="3457" spans="1:2" x14ac:dyDescent="0.3">
      <c r="A3457" s="2">
        <v>45801.958333333343</v>
      </c>
      <c r="B3457">
        <f>3771.07627728655*(3/4)</f>
        <v>2828.30720796491</v>
      </c>
    </row>
    <row r="3458" spans="1:2" x14ac:dyDescent="0.3">
      <c r="A3458" s="2">
        <v>45802</v>
      </c>
      <c r="B3458">
        <f>4008.23456708655*(3/4)</f>
        <v>3006.1759253149094</v>
      </c>
    </row>
    <row r="3459" spans="1:2" x14ac:dyDescent="0.3">
      <c r="A3459" s="2">
        <v>45802.041666666657</v>
      </c>
      <c r="B3459">
        <f>3635.41370660032*(3/4)</f>
        <v>2726.5602799502385</v>
      </c>
    </row>
    <row r="3460" spans="1:2" x14ac:dyDescent="0.3">
      <c r="A3460" s="2">
        <v>45802.083333333343</v>
      </c>
      <c r="B3460">
        <f>3651.62704691899*(3/4)</f>
        <v>2738.7202851892412</v>
      </c>
    </row>
    <row r="3461" spans="1:2" x14ac:dyDescent="0.3">
      <c r="A3461" s="2">
        <v>45802.125</v>
      </c>
      <c r="B3461">
        <f>3830.51417079707*(3/4)</f>
        <v>2872.8856280977998</v>
      </c>
    </row>
    <row r="3462" spans="1:2" x14ac:dyDescent="0.3">
      <c r="A3462" s="2">
        <v>45802.166666666657</v>
      </c>
      <c r="B3462">
        <f>4040.41761874578*(3/4)</f>
        <v>3030.3132140593316</v>
      </c>
    </row>
    <row r="3463" spans="1:2" x14ac:dyDescent="0.3">
      <c r="A3463" s="2">
        <v>45802.208333333343</v>
      </c>
      <c r="B3463">
        <f>3801.33574237518*(3/4)</f>
        <v>2851.0018067813849</v>
      </c>
    </row>
    <row r="3464" spans="1:2" x14ac:dyDescent="0.3">
      <c r="A3464" s="2">
        <v>45802.25</v>
      </c>
      <c r="B3464">
        <f>3922.19800584984*(3/4)</f>
        <v>2941.6485043873763</v>
      </c>
    </row>
    <row r="3465" spans="1:2" x14ac:dyDescent="0.3">
      <c r="A3465" s="2">
        <v>45802.291666666657</v>
      </c>
      <c r="B3465">
        <f>3998.77663032369*(3/4)</f>
        <v>2999.0824727427662</v>
      </c>
    </row>
    <row r="3466" spans="1:2" x14ac:dyDescent="0.3">
      <c r="A3466" s="2">
        <v>45802.333333333343</v>
      </c>
      <c r="B3466">
        <f>3354.13640977427*(3/4)</f>
        <v>2515.6023073307042</v>
      </c>
    </row>
    <row r="3467" spans="1:2" x14ac:dyDescent="0.3">
      <c r="A3467" s="2">
        <v>45802.375</v>
      </c>
      <c r="B3467">
        <f>3273.46775046457*(3/4)</f>
        <v>2455.1008128484277</v>
      </c>
    </row>
    <row r="3468" spans="1:2" x14ac:dyDescent="0.3">
      <c r="A3468" s="2">
        <v>45802.416666666657</v>
      </c>
      <c r="B3468">
        <f>3542.85386179875*(3/4)</f>
        <v>2657.1403963490634</v>
      </c>
    </row>
    <row r="3469" spans="1:2" x14ac:dyDescent="0.3">
      <c r="A3469" s="2">
        <v>45802.458333333343</v>
      </c>
      <c r="B3469">
        <f>3244.36593155047*(3/4)</f>
        <v>2433.2744486628517</v>
      </c>
    </row>
    <row r="3470" spans="1:2" x14ac:dyDescent="0.3">
      <c r="A3470" s="2">
        <v>45802.5</v>
      </c>
      <c r="B3470">
        <f>3478.6128359567*(3/4)</f>
        <v>2608.9596269675235</v>
      </c>
    </row>
    <row r="3471" spans="1:2" x14ac:dyDescent="0.3">
      <c r="A3471" s="2">
        <v>45802.541666666657</v>
      </c>
      <c r="B3471">
        <f>3168.97798491663*(3/4)</f>
        <v>2376.7334886874755</v>
      </c>
    </row>
    <row r="3472" spans="1:2" x14ac:dyDescent="0.3">
      <c r="A3472" s="2">
        <v>45802.583333333343</v>
      </c>
      <c r="B3472">
        <f>3297.83333236816*(3/4)</f>
        <v>2473.3749992761168</v>
      </c>
    </row>
    <row r="3473" spans="1:2" x14ac:dyDescent="0.3">
      <c r="A3473" s="2">
        <v>45802.625</v>
      </c>
      <c r="B3473">
        <f>3151.80495741089*(3/4)</f>
        <v>2363.8537180581698</v>
      </c>
    </row>
    <row r="3474" spans="1:2" x14ac:dyDescent="0.3">
      <c r="A3474" s="2">
        <v>45802.666666666657</v>
      </c>
      <c r="B3474">
        <f>3294.95915475958*(3/4)</f>
        <v>2471.2193660696821</v>
      </c>
    </row>
    <row r="3475" spans="1:2" x14ac:dyDescent="0.3">
      <c r="A3475" s="2">
        <v>45802.708333333343</v>
      </c>
      <c r="B3475">
        <f>3891.5553766795*(3/4)</f>
        <v>2918.6665325096219</v>
      </c>
    </row>
    <row r="3476" spans="1:2" x14ac:dyDescent="0.3">
      <c r="A3476" s="2">
        <v>45802.75</v>
      </c>
      <c r="B3476">
        <f>4178.38078824671*(3/4)</f>
        <v>3133.7855911850302</v>
      </c>
    </row>
    <row r="3477" spans="1:2" x14ac:dyDescent="0.3">
      <c r="A3477" s="2">
        <v>45802.791666666657</v>
      </c>
      <c r="B3477">
        <f>3982.40047579097*(3/4)</f>
        <v>2986.8003568432282</v>
      </c>
    </row>
    <row r="3478" spans="1:2" x14ac:dyDescent="0.3">
      <c r="A3478" s="2">
        <v>45802.833333333343</v>
      </c>
      <c r="B3478">
        <f>3911.80388826691*(3/4)</f>
        <v>2933.8529162001842</v>
      </c>
    </row>
    <row r="3479" spans="1:2" x14ac:dyDescent="0.3">
      <c r="A3479" s="2">
        <v>45802.875</v>
      </c>
      <c r="B3479">
        <f>3999.35447409317*(3/4)</f>
        <v>2999.5158555698767</v>
      </c>
    </row>
    <row r="3480" spans="1:2" x14ac:dyDescent="0.3">
      <c r="A3480" s="2">
        <v>45802.916666666657</v>
      </c>
      <c r="B3480">
        <f>3683.68074763758*(3/4)</f>
        <v>2762.7605607281857</v>
      </c>
    </row>
    <row r="3481" spans="1:2" x14ac:dyDescent="0.3">
      <c r="A3481" s="2">
        <v>45802.958333333343</v>
      </c>
      <c r="B3481">
        <f>3920.52425619692*(3/4)</f>
        <v>2940.3931921476938</v>
      </c>
    </row>
    <row r="3482" spans="1:2" x14ac:dyDescent="0.3">
      <c r="A3482" s="2">
        <v>45803</v>
      </c>
      <c r="B3482">
        <f>3776.42595725353*(3/4)</f>
        <v>2832.3194679401468</v>
      </c>
    </row>
    <row r="3483" spans="1:2" x14ac:dyDescent="0.3">
      <c r="A3483" s="2">
        <v>45803.041666666657</v>
      </c>
      <c r="B3483">
        <f>3875.31192596684*(3/4)</f>
        <v>2906.4839444751283</v>
      </c>
    </row>
    <row r="3484" spans="1:2" x14ac:dyDescent="0.3">
      <c r="A3484" s="2">
        <v>45803.083333333343</v>
      </c>
      <c r="B3484">
        <f>3898.7514243282*(3/4)</f>
        <v>2924.063568246148</v>
      </c>
    </row>
    <row r="3485" spans="1:2" x14ac:dyDescent="0.3">
      <c r="A3485" s="2">
        <v>45803.125</v>
      </c>
      <c r="B3485">
        <f>4175.9539657164*(3/4)</f>
        <v>3131.9654742872999</v>
      </c>
    </row>
    <row r="3486" spans="1:2" x14ac:dyDescent="0.3">
      <c r="A3486" s="2">
        <v>45803.166666666657</v>
      </c>
      <c r="B3486">
        <f>3699.87523546359*(3/4)</f>
        <v>2774.9064265976904</v>
      </c>
    </row>
    <row r="3487" spans="1:2" x14ac:dyDescent="0.3">
      <c r="A3487" s="2">
        <v>45803.208333333343</v>
      </c>
      <c r="B3487">
        <f>3977.25391154275*(3/4)</f>
        <v>2982.940433657061</v>
      </c>
    </row>
    <row r="3488" spans="1:2" x14ac:dyDescent="0.3">
      <c r="A3488" s="2">
        <v>45803.25</v>
      </c>
      <c r="B3488">
        <f>3948.63185458753*(3/4)</f>
        <v>2961.473890940646</v>
      </c>
    </row>
    <row r="3489" spans="1:2" x14ac:dyDescent="0.3">
      <c r="A3489" s="2">
        <v>45803.291666666657</v>
      </c>
      <c r="B3489">
        <f>3913.9838469474*(3/4)</f>
        <v>2935.4878852105521</v>
      </c>
    </row>
    <row r="3490" spans="1:2" x14ac:dyDescent="0.3">
      <c r="A3490" s="2">
        <v>45803.333333333343</v>
      </c>
      <c r="B3490">
        <f>4131.6280393778*(3/4)</f>
        <v>3098.7210295333534</v>
      </c>
    </row>
    <row r="3491" spans="1:2" x14ac:dyDescent="0.3">
      <c r="A3491" s="2">
        <v>45803.375</v>
      </c>
      <c r="B3491">
        <f>3888.48156834052*(3/4)</f>
        <v>2916.3611762553869</v>
      </c>
    </row>
    <row r="3492" spans="1:2" x14ac:dyDescent="0.3">
      <c r="A3492" s="2">
        <v>45803.416666666657</v>
      </c>
      <c r="B3492">
        <f>4081.87838889611*(3/4)</f>
        <v>3061.4087916720796</v>
      </c>
    </row>
    <row r="3493" spans="1:2" x14ac:dyDescent="0.3">
      <c r="A3493" s="2">
        <v>45803.458333333343</v>
      </c>
      <c r="B3493">
        <f>3809.169550599*(3/4)</f>
        <v>2856.8771629492471</v>
      </c>
    </row>
    <row r="3494" spans="1:2" x14ac:dyDescent="0.3">
      <c r="A3494" s="2">
        <v>45803.5</v>
      </c>
      <c r="B3494">
        <f>3917.29416535967*(3/4)</f>
        <v>2937.9706240197543</v>
      </c>
    </row>
    <row r="3495" spans="1:2" x14ac:dyDescent="0.3">
      <c r="A3495" s="2">
        <v>45803.541666666657</v>
      </c>
      <c r="B3495">
        <f>4201.97907274148*(3/4)</f>
        <v>3151.4843045561111</v>
      </c>
    </row>
    <row r="3496" spans="1:2" x14ac:dyDescent="0.3">
      <c r="A3496" s="2">
        <v>45803.583333333343</v>
      </c>
      <c r="B3496">
        <f>3640.05532265809*(3/4)</f>
        <v>2730.0414919935697</v>
      </c>
    </row>
    <row r="3497" spans="1:2" x14ac:dyDescent="0.3">
      <c r="A3497" s="2">
        <v>45803.625</v>
      </c>
      <c r="B3497">
        <f>3916.51486796477*(3/4)</f>
        <v>2937.3861509735789</v>
      </c>
    </row>
    <row r="3498" spans="1:2" x14ac:dyDescent="0.3">
      <c r="A3498" s="2">
        <v>45803.666666666657</v>
      </c>
      <c r="B3498">
        <f>4540.54270193496*(3/4)</f>
        <v>3405.4070264512184</v>
      </c>
    </row>
    <row r="3499" spans="1:2" x14ac:dyDescent="0.3">
      <c r="A3499" s="2">
        <v>45803.708333333343</v>
      </c>
      <c r="B3499">
        <f>3892.51968913288*(3/4)</f>
        <v>2919.3897668496602</v>
      </c>
    </row>
    <row r="3500" spans="1:2" x14ac:dyDescent="0.3">
      <c r="A3500" s="2">
        <v>45803.75</v>
      </c>
      <c r="B3500">
        <f>3959.81777186226*(3/4)</f>
        <v>2969.8633288966948</v>
      </c>
    </row>
    <row r="3501" spans="1:2" x14ac:dyDescent="0.3">
      <c r="A3501" s="2">
        <v>45803.791666666657</v>
      </c>
      <c r="B3501">
        <f>4294.02434019319*(3/4)</f>
        <v>3220.5182551448893</v>
      </c>
    </row>
    <row r="3502" spans="1:2" x14ac:dyDescent="0.3">
      <c r="A3502" s="2">
        <v>45803.833333333343</v>
      </c>
      <c r="B3502">
        <f>4429.77810066895*(3/4)</f>
        <v>3322.3335755017115</v>
      </c>
    </row>
    <row r="3503" spans="1:2" x14ac:dyDescent="0.3">
      <c r="A3503" s="2">
        <v>45803.875</v>
      </c>
      <c r="B3503">
        <f>4079.0652672353*(3/4)</f>
        <v>3059.2989504264788</v>
      </c>
    </row>
    <row r="3504" spans="1:2" x14ac:dyDescent="0.3">
      <c r="A3504" s="2">
        <v>45803.916666666657</v>
      </c>
      <c r="B3504">
        <f>3773.43708579425*(3/4)</f>
        <v>2830.0778143456891</v>
      </c>
    </row>
    <row r="3505" spans="1:2" x14ac:dyDescent="0.3">
      <c r="A3505" s="2">
        <v>45803.958333333343</v>
      </c>
      <c r="B3505">
        <f>3721.50390985422*(3/4)</f>
        <v>2791.1279323906665</v>
      </c>
    </row>
    <row r="3506" spans="1:2" x14ac:dyDescent="0.3">
      <c r="A3506" s="2">
        <v>45804</v>
      </c>
      <c r="B3506">
        <f>3542.65843689169*(3/4)</f>
        <v>2656.9938276687681</v>
      </c>
    </row>
    <row r="3507" spans="1:2" x14ac:dyDescent="0.3">
      <c r="A3507" s="2">
        <v>45804.041666666657</v>
      </c>
      <c r="B3507">
        <f>3714.29704083638*(3/4)</f>
        <v>2785.7227806272849</v>
      </c>
    </row>
    <row r="3508" spans="1:2" x14ac:dyDescent="0.3">
      <c r="A3508" s="2">
        <v>45804.083333333343</v>
      </c>
      <c r="B3508">
        <f>3878.57389647276*(3/4)</f>
        <v>2908.9304223545678</v>
      </c>
    </row>
    <row r="3509" spans="1:2" x14ac:dyDescent="0.3">
      <c r="A3509" s="2">
        <v>45804.125</v>
      </c>
      <c r="B3509">
        <f>3719.15029120982*(3/4)</f>
        <v>2789.362718407363</v>
      </c>
    </row>
    <row r="3510" spans="1:2" x14ac:dyDescent="0.3">
      <c r="A3510" s="2">
        <v>45804.166666666657</v>
      </c>
      <c r="B3510">
        <f>4215.28610238297*(3/4)</f>
        <v>3161.4645767872262</v>
      </c>
    </row>
    <row r="3511" spans="1:2" x14ac:dyDescent="0.3">
      <c r="A3511" s="2">
        <v>45804.208333333343</v>
      </c>
      <c r="B3511">
        <f>3902.40256217753*(3/4)</f>
        <v>2926.8019216331459</v>
      </c>
    </row>
    <row r="3512" spans="1:2" x14ac:dyDescent="0.3">
      <c r="A3512" s="2">
        <v>45804.25</v>
      </c>
      <c r="B3512">
        <f>3912.95591670228*(3/4)</f>
        <v>2934.7169375267131</v>
      </c>
    </row>
    <row r="3513" spans="1:2" x14ac:dyDescent="0.3">
      <c r="A3513" s="2">
        <v>45804.291666666657</v>
      </c>
      <c r="B3513">
        <f>4043.57981303132*(3/4)</f>
        <v>3032.6848597734902</v>
      </c>
    </row>
    <row r="3514" spans="1:2" x14ac:dyDescent="0.3">
      <c r="A3514" s="2">
        <v>45804.333333333343</v>
      </c>
      <c r="B3514">
        <f>3698.07150662883*(3/4)</f>
        <v>2773.5536299716241</v>
      </c>
    </row>
    <row r="3515" spans="1:2" x14ac:dyDescent="0.3">
      <c r="A3515" s="2">
        <v>45804.375</v>
      </c>
      <c r="B3515">
        <f>4185.86378948428*(3/4)</f>
        <v>3139.3978421132069</v>
      </c>
    </row>
    <row r="3516" spans="1:2" x14ac:dyDescent="0.3">
      <c r="A3516" s="2">
        <v>45804.416666666657</v>
      </c>
      <c r="B3516">
        <f>4015.97918058768*(3/4)</f>
        <v>3011.9843854407627</v>
      </c>
    </row>
    <row r="3517" spans="1:2" x14ac:dyDescent="0.3">
      <c r="A3517" s="2">
        <v>45804.458333333343</v>
      </c>
      <c r="B3517">
        <f>4253.85421447955*(3/4)</f>
        <v>3190.390660859659</v>
      </c>
    </row>
    <row r="3518" spans="1:2" x14ac:dyDescent="0.3">
      <c r="A3518" s="2">
        <v>45804.5</v>
      </c>
      <c r="B3518">
        <f>4127.66609723634*(3/4)</f>
        <v>3095.7495729272541</v>
      </c>
    </row>
    <row r="3519" spans="1:2" x14ac:dyDescent="0.3">
      <c r="A3519" s="2">
        <v>45804.541666666657</v>
      </c>
      <c r="B3519">
        <f>4340.17183953893*(3/4)</f>
        <v>3255.1288796541985</v>
      </c>
    </row>
    <row r="3520" spans="1:2" x14ac:dyDescent="0.3">
      <c r="A3520" s="2">
        <v>45804.583333333343</v>
      </c>
      <c r="B3520">
        <f>3924.20034781567*(3/4)</f>
        <v>2943.1502608617548</v>
      </c>
    </row>
    <row r="3521" spans="1:2" x14ac:dyDescent="0.3">
      <c r="A3521" s="2">
        <v>45804.625</v>
      </c>
      <c r="B3521">
        <f>4011.73275737189*(3/4)</f>
        <v>3008.7995680289196</v>
      </c>
    </row>
    <row r="3522" spans="1:2" x14ac:dyDescent="0.3">
      <c r="A3522" s="2">
        <v>45804.666666666657</v>
      </c>
      <c r="B3522">
        <f>4336.06088730268*(3/4)</f>
        <v>3252.0456654770069</v>
      </c>
    </row>
    <row r="3523" spans="1:2" x14ac:dyDescent="0.3">
      <c r="A3523" s="2">
        <v>45804.708333333343</v>
      </c>
      <c r="B3523">
        <f>3944.07094619354*(3/4)</f>
        <v>2958.0532096451561</v>
      </c>
    </row>
    <row r="3524" spans="1:2" x14ac:dyDescent="0.3">
      <c r="A3524" s="2">
        <v>45804.75</v>
      </c>
      <c r="B3524">
        <f>3906.94524557356*(3/4)</f>
        <v>2930.2089341801675</v>
      </c>
    </row>
    <row r="3525" spans="1:2" x14ac:dyDescent="0.3">
      <c r="A3525" s="2">
        <v>45804.791666666657</v>
      </c>
      <c r="B3525">
        <f>4044.1167722741*(3/4)</f>
        <v>3033.0875792055767</v>
      </c>
    </row>
    <row r="3526" spans="1:2" x14ac:dyDescent="0.3">
      <c r="A3526" s="2">
        <v>45804.833333333343</v>
      </c>
      <c r="B3526">
        <f>4652.22449046055*(3/4)</f>
        <v>3489.1683678454147</v>
      </c>
    </row>
    <row r="3527" spans="1:2" x14ac:dyDescent="0.3">
      <c r="A3527" s="2">
        <v>45804.875</v>
      </c>
      <c r="B3527">
        <f>3829.03413298647*(3/4)</f>
        <v>2871.7755997398554</v>
      </c>
    </row>
    <row r="3528" spans="1:2" x14ac:dyDescent="0.3">
      <c r="A3528" s="2">
        <v>45804.916666666657</v>
      </c>
      <c r="B3528">
        <f>3662.80018558129*(3/4)</f>
        <v>2747.1001391859704</v>
      </c>
    </row>
    <row r="3529" spans="1:2" x14ac:dyDescent="0.3">
      <c r="A3529" s="2">
        <v>45804.958333333343</v>
      </c>
      <c r="B3529">
        <f>3744.11553845975*(3/4)</f>
        <v>2808.0866538448117</v>
      </c>
    </row>
    <row r="3530" spans="1:2" x14ac:dyDescent="0.3">
      <c r="A3530" s="2">
        <v>45805</v>
      </c>
      <c r="B3530">
        <f>4254.15785889505*(3/4)</f>
        <v>3190.6183941712879</v>
      </c>
    </row>
    <row r="3531" spans="1:2" x14ac:dyDescent="0.3">
      <c r="A3531" s="2">
        <v>45805.041666666657</v>
      </c>
      <c r="B3531">
        <f>4169.25103674957*(3/4)</f>
        <v>3126.9382775621793</v>
      </c>
    </row>
    <row r="3532" spans="1:2" x14ac:dyDescent="0.3">
      <c r="A3532" s="2">
        <v>45805.083333333343</v>
      </c>
      <c r="B3532">
        <f>3788.16636480526*(3/4)</f>
        <v>2841.1247736039459</v>
      </c>
    </row>
    <row r="3533" spans="1:2" x14ac:dyDescent="0.3">
      <c r="A3533" s="2">
        <v>45805.125</v>
      </c>
      <c r="B3533">
        <f>3939.67555856857*(3/4)</f>
        <v>2954.7566689264281</v>
      </c>
    </row>
    <row r="3534" spans="1:2" x14ac:dyDescent="0.3">
      <c r="A3534" s="2">
        <v>45805.166666666657</v>
      </c>
      <c r="B3534">
        <f>3886.78894461155*(3/4)</f>
        <v>2915.091708458664</v>
      </c>
    </row>
    <row r="3535" spans="1:2" x14ac:dyDescent="0.3">
      <c r="A3535" s="2">
        <v>45805.208333333343</v>
      </c>
      <c r="B3535">
        <f>3936.46895175667*(3/4)</f>
        <v>2952.3517138175002</v>
      </c>
    </row>
    <row r="3536" spans="1:2" x14ac:dyDescent="0.3">
      <c r="A3536" s="2">
        <v>45805.25</v>
      </c>
      <c r="B3536">
        <f>4051.72573249428*(3/4)</f>
        <v>3038.7942993707115</v>
      </c>
    </row>
    <row r="3537" spans="1:2" x14ac:dyDescent="0.3">
      <c r="A3537" s="2">
        <v>45805.291666666657</v>
      </c>
      <c r="B3537">
        <f>4129.07578238409*(3/4)</f>
        <v>3096.8068367880696</v>
      </c>
    </row>
    <row r="3538" spans="1:2" x14ac:dyDescent="0.3">
      <c r="A3538" s="2">
        <v>45805.333333333343</v>
      </c>
      <c r="B3538">
        <f>4061.98682703106*(3/4)</f>
        <v>3046.4901202732954</v>
      </c>
    </row>
    <row r="3539" spans="1:2" x14ac:dyDescent="0.3">
      <c r="A3539" s="2">
        <v>45805.375</v>
      </c>
      <c r="B3539">
        <f>4142.02909317212*(3/4)</f>
        <v>3106.5218198790881</v>
      </c>
    </row>
    <row r="3540" spans="1:2" x14ac:dyDescent="0.3">
      <c r="A3540" s="2">
        <v>45805.416666666657</v>
      </c>
      <c r="B3540">
        <f>3955.3684915937*(3/4)</f>
        <v>2966.5263686952771</v>
      </c>
    </row>
    <row r="3541" spans="1:2" x14ac:dyDescent="0.3">
      <c r="A3541" s="2">
        <v>45805.458333333343</v>
      </c>
      <c r="B3541">
        <f>4058.60718813905*(3/4)</f>
        <v>3043.9553911042854</v>
      </c>
    </row>
    <row r="3542" spans="1:2" x14ac:dyDescent="0.3">
      <c r="A3542" s="2">
        <v>45805.5</v>
      </c>
      <c r="B3542">
        <f>4337.22310260532*(3/4)</f>
        <v>3252.9173269539879</v>
      </c>
    </row>
    <row r="3543" spans="1:2" x14ac:dyDescent="0.3">
      <c r="A3543" s="2">
        <v>45805.541666666657</v>
      </c>
      <c r="B3543">
        <f>4087.97793296699*(3/4)</f>
        <v>3065.9834497252386</v>
      </c>
    </row>
    <row r="3544" spans="1:2" x14ac:dyDescent="0.3">
      <c r="A3544" s="2">
        <v>45805.583333333343</v>
      </c>
      <c r="B3544">
        <f>3952.27920759243*(3/4)</f>
        <v>2964.2094056943261</v>
      </c>
    </row>
    <row r="3545" spans="1:2" x14ac:dyDescent="0.3">
      <c r="A3545" s="2">
        <v>45805.625</v>
      </c>
      <c r="B3545">
        <f>4215.7670944599*(3/4)</f>
        <v>3161.825320844926</v>
      </c>
    </row>
    <row r="3546" spans="1:2" x14ac:dyDescent="0.3">
      <c r="A3546" s="2">
        <v>45805.666666666657</v>
      </c>
      <c r="B3546">
        <f>4247.36846446704*(3/4)</f>
        <v>3185.5263483502808</v>
      </c>
    </row>
    <row r="3547" spans="1:2" x14ac:dyDescent="0.3">
      <c r="A3547" s="2">
        <v>45805.708333333343</v>
      </c>
      <c r="B3547">
        <f>4341.93133847099*(3/4)</f>
        <v>3256.4485038532448</v>
      </c>
    </row>
    <row r="3548" spans="1:2" x14ac:dyDescent="0.3">
      <c r="A3548" s="2">
        <v>45805.75</v>
      </c>
      <c r="B3548">
        <f>3904.92170400814*(3/4)</f>
        <v>2928.6912780061043</v>
      </c>
    </row>
    <row r="3549" spans="1:2" x14ac:dyDescent="0.3">
      <c r="A3549" s="2">
        <v>45805.791666666657</v>
      </c>
      <c r="B3549">
        <f>4034.71436412337*(3/4)</f>
        <v>3026.0357730925289</v>
      </c>
    </row>
    <row r="3550" spans="1:2" x14ac:dyDescent="0.3">
      <c r="A3550" s="2">
        <v>45805.833333333343</v>
      </c>
      <c r="B3550">
        <f>4076.57710047674*(3/4)</f>
        <v>3057.4328253575541</v>
      </c>
    </row>
    <row r="3551" spans="1:2" x14ac:dyDescent="0.3">
      <c r="A3551" s="2">
        <v>45805.875</v>
      </c>
      <c r="B3551">
        <f>3817.67806886485*(3/4)</f>
        <v>2863.2585516486388</v>
      </c>
    </row>
    <row r="3552" spans="1:2" x14ac:dyDescent="0.3">
      <c r="A3552" s="2">
        <v>45805.916666666657</v>
      </c>
      <c r="B3552">
        <f>3988.92851423489*(3/4)</f>
        <v>2991.6963856761677</v>
      </c>
    </row>
    <row r="3553" spans="1:2" x14ac:dyDescent="0.3">
      <c r="A3553" s="2">
        <v>45805.958333333343</v>
      </c>
      <c r="B3553">
        <f>3984.30956125363*(3/4)</f>
        <v>2988.2321709402204</v>
      </c>
    </row>
    <row r="3554" spans="1:2" x14ac:dyDescent="0.3">
      <c r="A3554" s="2">
        <v>45806</v>
      </c>
      <c r="B3554">
        <f>4094.82089871846*(3/4)</f>
        <v>3071.1156740388451</v>
      </c>
    </row>
    <row r="3555" spans="1:2" x14ac:dyDescent="0.3">
      <c r="A3555" s="2">
        <v>45806.041666666657</v>
      </c>
      <c r="B3555">
        <f>3660.1531632261*(3/4)</f>
        <v>2745.114872419575</v>
      </c>
    </row>
    <row r="3556" spans="1:2" x14ac:dyDescent="0.3">
      <c r="A3556" s="2">
        <v>45806.083333333343</v>
      </c>
      <c r="B3556">
        <f>4149.12656688124*(3/4)</f>
        <v>3111.8449251609322</v>
      </c>
    </row>
    <row r="3557" spans="1:2" x14ac:dyDescent="0.3">
      <c r="A3557" s="2">
        <v>45806.125</v>
      </c>
      <c r="B3557">
        <f>4169.83850137453*(3/4)</f>
        <v>3127.3788760308944</v>
      </c>
    </row>
    <row r="3558" spans="1:2" x14ac:dyDescent="0.3">
      <c r="A3558" s="2">
        <v>45806.166666666657</v>
      </c>
      <c r="B3558">
        <f>4002.46254772535*(3/4)</f>
        <v>3001.8469107940141</v>
      </c>
    </row>
    <row r="3559" spans="1:2" x14ac:dyDescent="0.3">
      <c r="A3559" s="2">
        <v>45806.208333333343</v>
      </c>
      <c r="B3559">
        <f>4092.99621348859*(3/4)</f>
        <v>3069.7471601164425</v>
      </c>
    </row>
    <row r="3560" spans="1:2" x14ac:dyDescent="0.3">
      <c r="A3560" s="2">
        <v>45806.25</v>
      </c>
      <c r="B3560">
        <f>3912.67515076293*(3/4)</f>
        <v>2934.5063630721952</v>
      </c>
    </row>
    <row r="3561" spans="1:2" x14ac:dyDescent="0.3">
      <c r="A3561" s="2">
        <v>45806.291666666657</v>
      </c>
      <c r="B3561">
        <f>4352.14922250371*(3/4)</f>
        <v>3264.1119168777859</v>
      </c>
    </row>
    <row r="3562" spans="1:2" x14ac:dyDescent="0.3">
      <c r="A3562" s="2">
        <v>45806.333333333343</v>
      </c>
      <c r="B3562">
        <f>3876.84795827825*(3/4)</f>
        <v>2907.6359687086897</v>
      </c>
    </row>
    <row r="3563" spans="1:2" x14ac:dyDescent="0.3">
      <c r="A3563" s="2">
        <v>45806.375</v>
      </c>
      <c r="B3563">
        <f>4009.81919387422*(3/4)</f>
        <v>3007.364395405662</v>
      </c>
    </row>
    <row r="3564" spans="1:2" x14ac:dyDescent="0.3">
      <c r="A3564" s="2">
        <v>45806.416666666657</v>
      </c>
      <c r="B3564">
        <f>4100.68433187055*(3/4)</f>
        <v>3075.5132489029088</v>
      </c>
    </row>
    <row r="3565" spans="1:2" x14ac:dyDescent="0.3">
      <c r="A3565" s="2">
        <v>45806.458333333343</v>
      </c>
      <c r="B3565">
        <f>4183.61042895776*(3/4)</f>
        <v>3137.7078217183234</v>
      </c>
    </row>
    <row r="3566" spans="1:2" x14ac:dyDescent="0.3">
      <c r="A3566" s="2">
        <v>45806.5</v>
      </c>
      <c r="B3566">
        <f>4142.18949480492*(3/4)</f>
        <v>3106.6421211036895</v>
      </c>
    </row>
    <row r="3567" spans="1:2" x14ac:dyDescent="0.3">
      <c r="A3567" s="2">
        <v>45806.541666666657</v>
      </c>
      <c r="B3567">
        <f>4121.1343514562*(3/4)</f>
        <v>3090.8507635921537</v>
      </c>
    </row>
    <row r="3568" spans="1:2" x14ac:dyDescent="0.3">
      <c r="A3568" s="2">
        <v>45806.583333333343</v>
      </c>
      <c r="B3568">
        <f>3815.68661787298*(3/4)</f>
        <v>2861.7649634047311</v>
      </c>
    </row>
    <row r="3569" spans="1:2" x14ac:dyDescent="0.3">
      <c r="A3569" s="2">
        <v>45806.625</v>
      </c>
      <c r="B3569">
        <f>3965.96075799718*(3/4)</f>
        <v>2974.4705684978881</v>
      </c>
    </row>
    <row r="3570" spans="1:2" x14ac:dyDescent="0.3">
      <c r="A3570" s="2">
        <v>45806.666666666657</v>
      </c>
      <c r="B3570">
        <f>4196.57515693961*(3/4)</f>
        <v>3147.4313677047057</v>
      </c>
    </row>
    <row r="3571" spans="1:2" x14ac:dyDescent="0.3">
      <c r="A3571" s="2">
        <v>45806.708333333343</v>
      </c>
      <c r="B3571">
        <f>4032.84377663255*(3/4)</f>
        <v>3024.6328324744118</v>
      </c>
    </row>
    <row r="3572" spans="1:2" x14ac:dyDescent="0.3">
      <c r="A3572" s="2">
        <v>45806.75</v>
      </c>
      <c r="B3572">
        <f>3915.6512595162*(3/4)</f>
        <v>2936.7384446371498</v>
      </c>
    </row>
    <row r="3573" spans="1:2" x14ac:dyDescent="0.3">
      <c r="A3573" s="2">
        <v>45806.791666666657</v>
      </c>
      <c r="B3573">
        <f>4128.65269078093*(3/4)</f>
        <v>3096.4895180856975</v>
      </c>
    </row>
    <row r="3574" spans="1:2" x14ac:dyDescent="0.3">
      <c r="A3574" s="2">
        <v>45806.833333333343</v>
      </c>
      <c r="B3574">
        <f>4001.99726092685*(3/4)</f>
        <v>3001.4979456951382</v>
      </c>
    </row>
    <row r="3575" spans="1:2" x14ac:dyDescent="0.3">
      <c r="A3575" s="2">
        <v>45806.875</v>
      </c>
      <c r="B3575">
        <f>4235.51541334923*(3/4)</f>
        <v>3176.6365600119229</v>
      </c>
    </row>
    <row r="3576" spans="1:2" x14ac:dyDescent="0.3">
      <c r="A3576" s="2">
        <v>45806.916666666657</v>
      </c>
      <c r="B3576">
        <f>3647.05121331931*(3/4)</f>
        <v>2735.28840998948</v>
      </c>
    </row>
    <row r="3577" spans="1:2" x14ac:dyDescent="0.3">
      <c r="A3577" s="2">
        <v>45806.958333333343</v>
      </c>
      <c r="B3577">
        <f>3948.64675421974*(3/4)</f>
        <v>2961.4850656648027</v>
      </c>
    </row>
    <row r="3578" spans="1:2" x14ac:dyDescent="0.3">
      <c r="A3578" s="2">
        <v>45807</v>
      </c>
      <c r="B3578">
        <f>4112.63585529941*(3/4)</f>
        <v>3084.4768914745587</v>
      </c>
    </row>
    <row r="3579" spans="1:2" x14ac:dyDescent="0.3">
      <c r="A3579" s="2">
        <v>45807.041666666657</v>
      </c>
      <c r="B3579">
        <f>3925.53210099436*(3/4)</f>
        <v>2944.1490757457664</v>
      </c>
    </row>
    <row r="3580" spans="1:2" x14ac:dyDescent="0.3">
      <c r="A3580" s="2">
        <v>45807.083333333343</v>
      </c>
      <c r="B3580">
        <f>3923.27844801625*(3/4)</f>
        <v>2942.4588360121911</v>
      </c>
    </row>
    <row r="3581" spans="1:2" x14ac:dyDescent="0.3">
      <c r="A3581" s="2">
        <v>45807.125</v>
      </c>
      <c r="B3581">
        <f>4034.7432153027*(3/4)</f>
        <v>3026.0574114770229</v>
      </c>
    </row>
    <row r="3582" spans="1:2" x14ac:dyDescent="0.3">
      <c r="A3582" s="2">
        <v>45807.166666666657</v>
      </c>
      <c r="B3582">
        <f>3696.44387897795*(3/4)</f>
        <v>2772.3329092334639</v>
      </c>
    </row>
    <row r="3583" spans="1:2" x14ac:dyDescent="0.3">
      <c r="A3583" s="2">
        <v>45807.208333333343</v>
      </c>
      <c r="B3583">
        <f>4051.8402618249*(3/4)</f>
        <v>3038.8801963686765</v>
      </c>
    </row>
    <row r="3584" spans="1:2" x14ac:dyDescent="0.3">
      <c r="A3584" s="2">
        <v>45807.25</v>
      </c>
      <c r="B3584">
        <f>3746.06740256149*(3/4)</f>
        <v>2809.5505519211192</v>
      </c>
    </row>
    <row r="3585" spans="1:2" x14ac:dyDescent="0.3">
      <c r="A3585" s="2">
        <v>45807.291666666657</v>
      </c>
      <c r="B3585">
        <f>4287.20664796263*(3/4)</f>
        <v>3215.4049859719739</v>
      </c>
    </row>
    <row r="3586" spans="1:2" x14ac:dyDescent="0.3">
      <c r="A3586" s="2">
        <v>45807.333333333343</v>
      </c>
      <c r="B3586">
        <f>4229.43862534278*(3/4)</f>
        <v>3172.0789690070837</v>
      </c>
    </row>
    <row r="3587" spans="1:2" x14ac:dyDescent="0.3">
      <c r="A3587" s="2">
        <v>45807.375</v>
      </c>
      <c r="B3587">
        <f>4036.92357527483*(3/4)</f>
        <v>3027.6926814561225</v>
      </c>
    </row>
    <row r="3588" spans="1:2" x14ac:dyDescent="0.3">
      <c r="A3588" s="2">
        <v>45807.416666666657</v>
      </c>
      <c r="B3588">
        <f>3938.02844350794*(3/4)</f>
        <v>2953.521332630954</v>
      </c>
    </row>
    <row r="3589" spans="1:2" x14ac:dyDescent="0.3">
      <c r="A3589" s="2">
        <v>45807.458333333343</v>
      </c>
      <c r="B3589">
        <f>4059.77713784228*(3/4)</f>
        <v>3044.8328533817094</v>
      </c>
    </row>
    <row r="3590" spans="1:2" x14ac:dyDescent="0.3">
      <c r="A3590" s="2">
        <v>45807.5</v>
      </c>
      <c r="B3590">
        <f>4199.95125164321*(3/4)</f>
        <v>3149.9634387324099</v>
      </c>
    </row>
    <row r="3591" spans="1:2" x14ac:dyDescent="0.3">
      <c r="A3591" s="2">
        <v>45807.541666666657</v>
      </c>
      <c r="B3591">
        <f>4054.79784096648*(3/4)</f>
        <v>3041.0983807248604</v>
      </c>
    </row>
    <row r="3592" spans="1:2" x14ac:dyDescent="0.3">
      <c r="A3592" s="2">
        <v>45807.583333333343</v>
      </c>
      <c r="B3592">
        <f>4017.22954869296*(3/4)</f>
        <v>3012.9221615197175</v>
      </c>
    </row>
    <row r="3593" spans="1:2" x14ac:dyDescent="0.3">
      <c r="A3593" s="2">
        <v>45807.625</v>
      </c>
      <c r="B3593">
        <f>3831.77020992168*(3/4)</f>
        <v>2873.8276574412598</v>
      </c>
    </row>
    <row r="3594" spans="1:2" x14ac:dyDescent="0.3">
      <c r="A3594" s="2">
        <v>45807.666666666657</v>
      </c>
      <c r="B3594">
        <f>4247.4228487272*(3/4)</f>
        <v>3185.5671365453982</v>
      </c>
    </row>
    <row r="3595" spans="1:2" x14ac:dyDescent="0.3">
      <c r="A3595" s="2">
        <v>45807.708333333343</v>
      </c>
      <c r="B3595">
        <f>4052.39046410414*(3/4)</f>
        <v>3039.2928480781065</v>
      </c>
    </row>
    <row r="3596" spans="1:2" x14ac:dyDescent="0.3">
      <c r="A3596" s="2">
        <v>45807.75</v>
      </c>
      <c r="B3596">
        <f>3945.23157363502*(3/4)</f>
        <v>2958.9236802262621</v>
      </c>
    </row>
    <row r="3597" spans="1:2" x14ac:dyDescent="0.3">
      <c r="A3597" s="2">
        <v>45807.791666666657</v>
      </c>
      <c r="B3597">
        <f>4054.08679657442*(3/4)</f>
        <v>3040.5650974308151</v>
      </c>
    </row>
    <row r="3598" spans="1:2" x14ac:dyDescent="0.3">
      <c r="A3598" s="2">
        <v>45807.833333333343</v>
      </c>
      <c r="B3598">
        <f>3902.72357241513*(3/4)</f>
        <v>2927.0426793113456</v>
      </c>
    </row>
    <row r="3599" spans="1:2" x14ac:dyDescent="0.3">
      <c r="A3599" s="2">
        <v>45807.875</v>
      </c>
      <c r="B3599">
        <f>4007.14384237302*(3/4)</f>
        <v>3005.3578817797625</v>
      </c>
    </row>
    <row r="3600" spans="1:2" x14ac:dyDescent="0.3">
      <c r="A3600" s="2">
        <v>45807.916666666657</v>
      </c>
      <c r="B3600">
        <f>3662.6629341224*(3/4)</f>
        <v>2746.9972005918021</v>
      </c>
    </row>
    <row r="3601" spans="1:2" x14ac:dyDescent="0.3">
      <c r="A3601" s="2">
        <v>45807.958333333343</v>
      </c>
      <c r="B3601">
        <f>3857.68406347723*(3/4)</f>
        <v>2893.2630476079194</v>
      </c>
    </row>
    <row r="3602" spans="1:2" x14ac:dyDescent="0.3">
      <c r="A3602" s="2">
        <v>45808</v>
      </c>
      <c r="B3602">
        <f>3898.1553931101*(3/4)</f>
        <v>2923.6165448325746</v>
      </c>
    </row>
    <row r="3603" spans="1:2" x14ac:dyDescent="0.3">
      <c r="A3603" s="2">
        <v>45808.041666666657</v>
      </c>
      <c r="B3603">
        <f>3926.86090348794*(3/4)</f>
        <v>2945.1456776159566</v>
      </c>
    </row>
    <row r="3604" spans="1:2" x14ac:dyDescent="0.3">
      <c r="A3604" s="2">
        <v>45808.083333333343</v>
      </c>
      <c r="B3604">
        <f>3798.9155956326*(3/4)</f>
        <v>2849.1866967244491</v>
      </c>
    </row>
    <row r="3605" spans="1:2" x14ac:dyDescent="0.3">
      <c r="A3605" s="2">
        <v>45808.125</v>
      </c>
      <c r="B3605">
        <f>3832.50401223509*(3/4)</f>
        <v>2874.3780091763197</v>
      </c>
    </row>
    <row r="3606" spans="1:2" x14ac:dyDescent="0.3">
      <c r="A3606" s="2">
        <v>45808.166666666657</v>
      </c>
      <c r="B3606">
        <f>4222.6050268413*(3/4)</f>
        <v>3166.9537701309723</v>
      </c>
    </row>
    <row r="3607" spans="1:2" x14ac:dyDescent="0.3">
      <c r="A3607" s="2">
        <v>45808.208333333343</v>
      </c>
      <c r="B3607">
        <f>3979.75990536864*(3/4)</f>
        <v>2984.8199290264793</v>
      </c>
    </row>
    <row r="3608" spans="1:2" x14ac:dyDescent="0.3">
      <c r="A3608" s="2">
        <v>45808.25</v>
      </c>
      <c r="B3608">
        <f>4087.30829379929*(3/4)</f>
        <v>3065.4812203494644</v>
      </c>
    </row>
    <row r="3609" spans="1:2" x14ac:dyDescent="0.3">
      <c r="A3609" s="2">
        <v>45808.291666666657</v>
      </c>
      <c r="B3609">
        <f>3993.83827546978*(3/4)</f>
        <v>2995.3787066023356</v>
      </c>
    </row>
    <row r="3610" spans="1:2" x14ac:dyDescent="0.3">
      <c r="A3610" s="2">
        <v>45808.333333333343</v>
      </c>
      <c r="B3610">
        <f>3779.10807433726*(3/4)</f>
        <v>2834.3310557529421</v>
      </c>
    </row>
    <row r="3611" spans="1:2" x14ac:dyDescent="0.3">
      <c r="A3611" s="2">
        <v>45808.375</v>
      </c>
      <c r="B3611">
        <f>3903.72280195166*(3/4)</f>
        <v>2927.7921014637423</v>
      </c>
    </row>
    <row r="3612" spans="1:2" x14ac:dyDescent="0.3">
      <c r="A3612" s="2">
        <v>45808.416666666657</v>
      </c>
      <c r="B3612">
        <f>3865.87760336922*(3/4)</f>
        <v>2899.4082025269158</v>
      </c>
    </row>
    <row r="3613" spans="1:2" x14ac:dyDescent="0.3">
      <c r="A3613" s="2">
        <v>45808.458333333343</v>
      </c>
      <c r="B3613">
        <f>4154.94207705807*(3/4)</f>
        <v>3116.2065577935505</v>
      </c>
    </row>
    <row r="3614" spans="1:2" x14ac:dyDescent="0.3">
      <c r="A3614" s="2">
        <v>45808.5</v>
      </c>
      <c r="B3614">
        <f>4053.51152440089*(3/4)</f>
        <v>3040.1336433006672</v>
      </c>
    </row>
    <row r="3615" spans="1:2" x14ac:dyDescent="0.3">
      <c r="A3615" s="2">
        <v>45808.541666666657</v>
      </c>
      <c r="B3615">
        <f>4062.94607421674*(3/4)</f>
        <v>3047.2095556625586</v>
      </c>
    </row>
    <row r="3616" spans="1:2" x14ac:dyDescent="0.3">
      <c r="A3616" s="2">
        <v>45808.583333333343</v>
      </c>
      <c r="B3616">
        <f>3877.54661881289*(3/4)</f>
        <v>2908.1599641096655</v>
      </c>
    </row>
    <row r="3617" spans="1:2" x14ac:dyDescent="0.3">
      <c r="A3617" s="2">
        <v>45808.625</v>
      </c>
      <c r="B3617">
        <f>4036.76174535081*(3/4)</f>
        <v>3027.5713090131044</v>
      </c>
    </row>
    <row r="3618" spans="1:2" x14ac:dyDescent="0.3">
      <c r="A3618" s="2">
        <v>45808.666666666657</v>
      </c>
      <c r="B3618">
        <f>4065.55572201271*(3/4)</f>
        <v>3049.1667915095322</v>
      </c>
    </row>
    <row r="3619" spans="1:2" x14ac:dyDescent="0.3">
      <c r="A3619" s="2">
        <v>45808.708333333343</v>
      </c>
      <c r="B3619">
        <f>4184.63314625187*(3/4)</f>
        <v>3138.4748596889026</v>
      </c>
    </row>
    <row r="3620" spans="1:2" x14ac:dyDescent="0.3">
      <c r="A3620" s="2">
        <v>45808.75</v>
      </c>
      <c r="B3620">
        <f>4273.34053540282*(3/4)</f>
        <v>3205.0054015521182</v>
      </c>
    </row>
    <row r="3621" spans="1:2" x14ac:dyDescent="0.3">
      <c r="A3621" s="2">
        <v>45808.791666666657</v>
      </c>
      <c r="B3621">
        <f>4084.41335199083*(3/4)</f>
        <v>3063.3100139931248</v>
      </c>
    </row>
    <row r="3622" spans="1:2" x14ac:dyDescent="0.3">
      <c r="A3622" s="2">
        <v>45808.833333333343</v>
      </c>
      <c r="B3622">
        <f>3938.01335691748*(3/4)</f>
        <v>2953.5100176881069</v>
      </c>
    </row>
    <row r="3623" spans="1:2" x14ac:dyDescent="0.3">
      <c r="A3623" s="2">
        <v>45808.875</v>
      </c>
      <c r="B3623">
        <f>4022.21473690352*(3/4)</f>
        <v>3016.6610526776403</v>
      </c>
    </row>
    <row r="3624" spans="1:2" x14ac:dyDescent="0.3">
      <c r="A3624" s="2">
        <v>45808.916666666657</v>
      </c>
      <c r="B3624">
        <f>3716.72177595239*(3/4)</f>
        <v>2787.5413319642894</v>
      </c>
    </row>
    <row r="3625" spans="1:2" x14ac:dyDescent="0.3">
      <c r="A3625" s="2">
        <v>45808.958333333343</v>
      </c>
      <c r="B3625">
        <f>4004.15569561476*(3/4)</f>
        <v>3003.1167717110675</v>
      </c>
    </row>
    <row r="3626" spans="1:2" x14ac:dyDescent="0.3">
      <c r="A3626" s="2">
        <v>45809</v>
      </c>
      <c r="B3626">
        <f>4211.16072473662*(3/4)</f>
        <v>3158.3705435524625</v>
      </c>
    </row>
    <row r="3627" spans="1:2" x14ac:dyDescent="0.3">
      <c r="A3627" s="2">
        <v>45809.041666666657</v>
      </c>
      <c r="B3627">
        <f>4315.10075886983*(3/4)</f>
        <v>3236.3255691523736</v>
      </c>
    </row>
    <row r="3628" spans="1:2" x14ac:dyDescent="0.3">
      <c r="A3628" s="2">
        <v>45809.083333333343</v>
      </c>
      <c r="B3628">
        <f>4344.27989090846*(3/4)</f>
        <v>3258.2099181813419</v>
      </c>
    </row>
    <row r="3629" spans="1:2" x14ac:dyDescent="0.3">
      <c r="A3629" s="2">
        <v>45809.125</v>
      </c>
      <c r="B3629">
        <f>4332.04771456715*(3/4)</f>
        <v>3249.0357859253613</v>
      </c>
    </row>
    <row r="3630" spans="1:2" x14ac:dyDescent="0.3">
      <c r="A3630" s="2">
        <v>45809.166666666657</v>
      </c>
      <c r="B3630">
        <f>3947.70633282902*(3/4)</f>
        <v>2960.7797496217645</v>
      </c>
    </row>
    <row r="3631" spans="1:2" x14ac:dyDescent="0.3">
      <c r="A3631" s="2">
        <v>45809.208333333343</v>
      </c>
      <c r="B3631">
        <f>4126.49770646018*(3/4)</f>
        <v>3094.8732798451342</v>
      </c>
    </row>
    <row r="3632" spans="1:2" x14ac:dyDescent="0.3">
      <c r="A3632" s="2">
        <v>45809.25</v>
      </c>
      <c r="B3632">
        <f>3996.43272184588*(3/4)</f>
        <v>2997.3245413844079</v>
      </c>
    </row>
    <row r="3633" spans="1:2" x14ac:dyDescent="0.3">
      <c r="A3633" s="2">
        <v>45809.291666666657</v>
      </c>
      <c r="B3633">
        <f>4393.67465518609*(3/4)</f>
        <v>3295.2559913895693</v>
      </c>
    </row>
    <row r="3634" spans="1:2" x14ac:dyDescent="0.3">
      <c r="A3634" s="2">
        <v>45809.333333333343</v>
      </c>
      <c r="B3634">
        <f>3600.73726058203*(3/4)</f>
        <v>2700.5529454365242</v>
      </c>
    </row>
    <row r="3635" spans="1:2" x14ac:dyDescent="0.3">
      <c r="A3635" s="2">
        <v>45809.375</v>
      </c>
      <c r="B3635">
        <f>3710.70481435268*(3/4)</f>
        <v>2783.028610764507</v>
      </c>
    </row>
    <row r="3636" spans="1:2" x14ac:dyDescent="0.3">
      <c r="A3636" s="2">
        <v>45809.416666666657</v>
      </c>
      <c r="B3636">
        <f>3372.64301343762*(3/4)</f>
        <v>2529.4822600782145</v>
      </c>
    </row>
    <row r="3637" spans="1:2" x14ac:dyDescent="0.3">
      <c r="A3637" s="2">
        <v>45809.458333333343</v>
      </c>
      <c r="B3637">
        <f>3360.71367762005*(3/4)</f>
        <v>2520.5352582150354</v>
      </c>
    </row>
    <row r="3638" spans="1:2" x14ac:dyDescent="0.3">
      <c r="A3638" s="2">
        <v>45809.5</v>
      </c>
      <c r="B3638">
        <f>3709.82731561678*(3/4)</f>
        <v>2782.3704867125857</v>
      </c>
    </row>
    <row r="3639" spans="1:2" x14ac:dyDescent="0.3">
      <c r="A3639" s="2">
        <v>45809.541666666657</v>
      </c>
      <c r="B3639">
        <f>3241.7058397931*(3/4)</f>
        <v>2431.2793798448274</v>
      </c>
    </row>
    <row r="3640" spans="1:2" x14ac:dyDescent="0.3">
      <c r="A3640" s="2">
        <v>45809.583333333343</v>
      </c>
      <c r="B3640">
        <f>3280.04764492468*(3/4)</f>
        <v>2460.0357336935094</v>
      </c>
    </row>
    <row r="3641" spans="1:2" x14ac:dyDescent="0.3">
      <c r="A3641" s="2">
        <v>45809.625</v>
      </c>
      <c r="B3641">
        <f>3322.7974789167*(3/4)</f>
        <v>2492.0981091875215</v>
      </c>
    </row>
    <row r="3642" spans="1:2" x14ac:dyDescent="0.3">
      <c r="A3642" s="2">
        <v>45809.666666666657</v>
      </c>
      <c r="B3642">
        <f>3352.32275482706*(3/4)</f>
        <v>2514.2420661202941</v>
      </c>
    </row>
    <row r="3643" spans="1:2" x14ac:dyDescent="0.3">
      <c r="A3643" s="2">
        <v>45809.708333333343</v>
      </c>
      <c r="B3643">
        <f>4238.65050889618*(3/4)</f>
        <v>3178.9878816721348</v>
      </c>
    </row>
    <row r="3644" spans="1:2" x14ac:dyDescent="0.3">
      <c r="A3644" s="2">
        <v>45809.75</v>
      </c>
      <c r="B3644">
        <f>4447.19084670158*(3/4)</f>
        <v>3335.3931350261828</v>
      </c>
    </row>
    <row r="3645" spans="1:2" x14ac:dyDescent="0.3">
      <c r="A3645" s="2">
        <v>45809.791666666657</v>
      </c>
      <c r="B3645">
        <f>4428.10035294015*(3/4)</f>
        <v>3321.0752647051108</v>
      </c>
    </row>
    <row r="3646" spans="1:2" x14ac:dyDescent="0.3">
      <c r="A3646" s="2">
        <v>45809.833333333343</v>
      </c>
      <c r="B3646">
        <f>4522.8842670168*(3/4)</f>
        <v>3392.1632002625993</v>
      </c>
    </row>
    <row r="3647" spans="1:2" x14ac:dyDescent="0.3">
      <c r="A3647" s="2">
        <v>45809.875</v>
      </c>
      <c r="B3647">
        <f>4153.39779551138*(3/4)</f>
        <v>3115.0483466335368</v>
      </c>
    </row>
    <row r="3648" spans="1:2" x14ac:dyDescent="0.3">
      <c r="A3648" s="2">
        <v>45809.916666666657</v>
      </c>
      <c r="B3648">
        <f>4028.99524822672*(3/4)</f>
        <v>3021.7464361700399</v>
      </c>
    </row>
    <row r="3649" spans="1:2" x14ac:dyDescent="0.3">
      <c r="A3649" s="2">
        <v>45809.958333333343</v>
      </c>
      <c r="B3649">
        <f>4012.85258088614*(3/4)</f>
        <v>3009.6394356646038</v>
      </c>
    </row>
    <row r="3650" spans="1:2" x14ac:dyDescent="0.3">
      <c r="A3650" s="2">
        <v>45810</v>
      </c>
      <c r="B3650">
        <f>4310.81240331863*(3/4)</f>
        <v>3233.1093024889742</v>
      </c>
    </row>
    <row r="3651" spans="1:2" x14ac:dyDescent="0.3">
      <c r="A3651" s="2">
        <v>45810.041666666657</v>
      </c>
      <c r="B3651">
        <f>3958.1810106522*(3/4)</f>
        <v>2968.6357579891483</v>
      </c>
    </row>
    <row r="3652" spans="1:2" x14ac:dyDescent="0.3">
      <c r="A3652" s="2">
        <v>45810.083333333343</v>
      </c>
      <c r="B3652">
        <f>4248.27408533593*(3/4)</f>
        <v>3186.2055640019498</v>
      </c>
    </row>
    <row r="3653" spans="1:2" x14ac:dyDescent="0.3">
      <c r="A3653" s="2">
        <v>45810.125</v>
      </c>
      <c r="B3653">
        <f>4287.279665354*(3/4)</f>
        <v>3215.4597490155011</v>
      </c>
    </row>
    <row r="3654" spans="1:2" x14ac:dyDescent="0.3">
      <c r="A3654" s="2">
        <v>45810.166666666657</v>
      </c>
      <c r="B3654">
        <f>4088.79897431301*(3/4)</f>
        <v>3066.5992307347587</v>
      </c>
    </row>
    <row r="3655" spans="1:2" x14ac:dyDescent="0.3">
      <c r="A3655" s="2">
        <v>45810.208333333343</v>
      </c>
      <c r="B3655">
        <f>4323.00028125098*(3/4)</f>
        <v>3242.2502109382372</v>
      </c>
    </row>
    <row r="3656" spans="1:2" x14ac:dyDescent="0.3">
      <c r="A3656" s="2">
        <v>45810.25</v>
      </c>
      <c r="B3656">
        <f>4181.96712347156*(3/4)</f>
        <v>3136.4753426036696</v>
      </c>
    </row>
    <row r="3657" spans="1:2" x14ac:dyDescent="0.3">
      <c r="A3657" s="2">
        <v>45810.291666666657</v>
      </c>
      <c r="B3657">
        <f>4384.95506458812*(3/4)</f>
        <v>3288.7162984410897</v>
      </c>
    </row>
    <row r="3658" spans="1:2" x14ac:dyDescent="0.3">
      <c r="A3658" s="2">
        <v>45810.333333333343</v>
      </c>
      <c r="B3658">
        <f>3968.21637173316*(3/4)</f>
        <v>2976.1622787998731</v>
      </c>
    </row>
    <row r="3659" spans="1:2" x14ac:dyDescent="0.3">
      <c r="A3659" s="2">
        <v>45810.375</v>
      </c>
      <c r="B3659">
        <f>4462.77682952162*(3/4)</f>
        <v>3347.0826221412185</v>
      </c>
    </row>
    <row r="3660" spans="1:2" x14ac:dyDescent="0.3">
      <c r="A3660" s="2">
        <v>45810.416666666657</v>
      </c>
      <c r="B3660">
        <f>4070.33306527548*(3/4)</f>
        <v>3052.7497989566136</v>
      </c>
    </row>
    <row r="3661" spans="1:2" x14ac:dyDescent="0.3">
      <c r="A3661" s="2">
        <v>45810.458333333343</v>
      </c>
      <c r="B3661">
        <f>4041.25006168267*(3/4)</f>
        <v>3030.937546262001</v>
      </c>
    </row>
    <row r="3662" spans="1:2" x14ac:dyDescent="0.3">
      <c r="A3662" s="2">
        <v>45810.5</v>
      </c>
      <c r="B3662">
        <f>3922.95188685483*(3/4)</f>
        <v>2942.2139151411197</v>
      </c>
    </row>
    <row r="3663" spans="1:2" x14ac:dyDescent="0.3">
      <c r="A3663" s="2">
        <v>45810.541666666657</v>
      </c>
      <c r="B3663">
        <f>4414.67003706117*(3/4)</f>
        <v>3311.0025277958766</v>
      </c>
    </row>
    <row r="3664" spans="1:2" x14ac:dyDescent="0.3">
      <c r="A3664" s="2">
        <v>45810.583333333343</v>
      </c>
      <c r="B3664">
        <f>4089.88113095643*(3/4)</f>
        <v>3067.4108482173206</v>
      </c>
    </row>
    <row r="3665" spans="1:2" x14ac:dyDescent="0.3">
      <c r="A3665" s="2">
        <v>45810.625</v>
      </c>
      <c r="B3665">
        <f>4144.87373747336*(3/4)</f>
        <v>3108.6553031050189</v>
      </c>
    </row>
    <row r="3666" spans="1:2" x14ac:dyDescent="0.3">
      <c r="A3666" s="2">
        <v>45810.666666666657</v>
      </c>
      <c r="B3666">
        <f>3706.53898455329*(3/4)</f>
        <v>2779.9042384149707</v>
      </c>
    </row>
    <row r="3667" spans="1:2" x14ac:dyDescent="0.3">
      <c r="A3667" s="2">
        <v>45810.708333333343</v>
      </c>
      <c r="B3667">
        <f>4257.40030504132*(3/4)</f>
        <v>3193.0502287809923</v>
      </c>
    </row>
    <row r="3668" spans="1:2" x14ac:dyDescent="0.3">
      <c r="A3668" s="2">
        <v>45810.75</v>
      </c>
      <c r="B3668">
        <f>4340.46287325003*(3/4)</f>
        <v>3255.3471549375195</v>
      </c>
    </row>
    <row r="3669" spans="1:2" x14ac:dyDescent="0.3">
      <c r="A3669" s="2">
        <v>45810.791666666657</v>
      </c>
      <c r="B3669">
        <f>4336.66015440134*(3/4)</f>
        <v>3252.4951158010053</v>
      </c>
    </row>
    <row r="3670" spans="1:2" x14ac:dyDescent="0.3">
      <c r="A3670" s="2">
        <v>45810.833333333343</v>
      </c>
      <c r="B3670">
        <f>4022.43642884968*(3/4)</f>
        <v>3016.8273216372622</v>
      </c>
    </row>
    <row r="3671" spans="1:2" x14ac:dyDescent="0.3">
      <c r="A3671" s="2">
        <v>45810.875</v>
      </c>
      <c r="B3671">
        <f>4018.14709708302*(3/4)</f>
        <v>3013.610322812267</v>
      </c>
    </row>
    <row r="3672" spans="1:2" x14ac:dyDescent="0.3">
      <c r="A3672" s="2">
        <v>45810.916666666657</v>
      </c>
      <c r="B3672">
        <f>3880.43448950897*(3/4)</f>
        <v>2910.3258671317253</v>
      </c>
    </row>
    <row r="3673" spans="1:2" x14ac:dyDescent="0.3">
      <c r="A3673" s="2">
        <v>45810.958333333343</v>
      </c>
      <c r="B3673">
        <f>4040.42742692666*(3/4)</f>
        <v>3030.3205701949919</v>
      </c>
    </row>
    <row r="3674" spans="1:2" x14ac:dyDescent="0.3">
      <c r="A3674" s="2">
        <v>45811</v>
      </c>
      <c r="B3674">
        <f>4493.49974523257*(3/4)</f>
        <v>3370.1248089244236</v>
      </c>
    </row>
    <row r="3675" spans="1:2" x14ac:dyDescent="0.3">
      <c r="A3675" s="2">
        <v>45811.041666666657</v>
      </c>
      <c r="B3675">
        <f>4192.16950887264*(3/4)</f>
        <v>3144.1271316544835</v>
      </c>
    </row>
    <row r="3676" spans="1:2" x14ac:dyDescent="0.3">
      <c r="A3676" s="2">
        <v>45811.083333333343</v>
      </c>
      <c r="B3676">
        <f>3799.35150528056*(3/4)</f>
        <v>2849.5136289604161</v>
      </c>
    </row>
    <row r="3677" spans="1:2" x14ac:dyDescent="0.3">
      <c r="A3677" s="2">
        <v>45811.125</v>
      </c>
      <c r="B3677">
        <f>3994.16653562414*(3/4)</f>
        <v>2995.6249017181026</v>
      </c>
    </row>
    <row r="3678" spans="1:2" x14ac:dyDescent="0.3">
      <c r="A3678" s="2">
        <v>45811.166666666657</v>
      </c>
      <c r="B3678">
        <f>4039.67091026009*(3/4)</f>
        <v>3029.7531826950703</v>
      </c>
    </row>
    <row r="3679" spans="1:2" x14ac:dyDescent="0.3">
      <c r="A3679" s="2">
        <v>45811.208333333343</v>
      </c>
      <c r="B3679">
        <f>4306.43027238396*(3/4)</f>
        <v>3229.8227042879726</v>
      </c>
    </row>
    <row r="3680" spans="1:2" x14ac:dyDescent="0.3">
      <c r="A3680" s="2">
        <v>45811.25</v>
      </c>
      <c r="B3680">
        <f>3809.29561721276*(3/4)</f>
        <v>2856.9717129095707</v>
      </c>
    </row>
    <row r="3681" spans="1:2" x14ac:dyDescent="0.3">
      <c r="A3681" s="2">
        <v>45811.291666666657</v>
      </c>
      <c r="B3681">
        <f>4327.07438215288*(3/4)</f>
        <v>3245.3057866146628</v>
      </c>
    </row>
    <row r="3682" spans="1:2" x14ac:dyDescent="0.3">
      <c r="A3682" s="2">
        <v>45811.333333333343</v>
      </c>
      <c r="B3682">
        <f>4515.68786125387*(3/4)</f>
        <v>3386.7658959404062</v>
      </c>
    </row>
    <row r="3683" spans="1:2" x14ac:dyDescent="0.3">
      <c r="A3683" s="2">
        <v>45811.375</v>
      </c>
      <c r="B3683">
        <f>4035.08054814205*(3/4)</f>
        <v>3026.3104111065354</v>
      </c>
    </row>
    <row r="3684" spans="1:2" x14ac:dyDescent="0.3">
      <c r="A3684" s="2">
        <v>45811.416666666657</v>
      </c>
      <c r="B3684">
        <f>4216.14013705584*(3/4)</f>
        <v>3162.1051027918829</v>
      </c>
    </row>
    <row r="3685" spans="1:2" x14ac:dyDescent="0.3">
      <c r="A3685" s="2">
        <v>45811.458333333343</v>
      </c>
      <c r="B3685">
        <f>4453.7379185375*(3/4)</f>
        <v>3340.3034389031286</v>
      </c>
    </row>
    <row r="3686" spans="1:2" x14ac:dyDescent="0.3">
      <c r="A3686" s="2">
        <v>45811.5</v>
      </c>
      <c r="B3686">
        <f>4281.58863116056*(3/4)</f>
        <v>3211.1914733704216</v>
      </c>
    </row>
    <row r="3687" spans="1:2" x14ac:dyDescent="0.3">
      <c r="A3687" s="2">
        <v>45811.541666666657</v>
      </c>
      <c r="B3687">
        <f>4150.12289463808*(3/4)</f>
        <v>3112.5921709785589</v>
      </c>
    </row>
    <row r="3688" spans="1:2" x14ac:dyDescent="0.3">
      <c r="A3688" s="2">
        <v>45811.583333333343</v>
      </c>
      <c r="B3688">
        <f>4203.24456888068*(3/4)</f>
        <v>3152.4334266605092</v>
      </c>
    </row>
    <row r="3689" spans="1:2" x14ac:dyDescent="0.3">
      <c r="A3689" s="2">
        <v>45811.625</v>
      </c>
      <c r="B3689">
        <f>3917.3582588176*(3/4)</f>
        <v>2938.018694113196</v>
      </c>
    </row>
    <row r="3690" spans="1:2" x14ac:dyDescent="0.3">
      <c r="A3690" s="2">
        <v>45811.666666666657</v>
      </c>
      <c r="B3690">
        <f>4370.4327396274*(3/4)</f>
        <v>3277.8245547205529</v>
      </c>
    </row>
    <row r="3691" spans="1:2" x14ac:dyDescent="0.3">
      <c r="A3691" s="2">
        <v>45811.708333333343</v>
      </c>
      <c r="B3691">
        <f>3937.69745360088*(3/4)</f>
        <v>2953.2730902006579</v>
      </c>
    </row>
    <row r="3692" spans="1:2" x14ac:dyDescent="0.3">
      <c r="A3692" s="2">
        <v>45811.75</v>
      </c>
      <c r="B3692">
        <f>4019.67354378449*(3/4)</f>
        <v>3014.7551578383673</v>
      </c>
    </row>
    <row r="3693" spans="1:2" x14ac:dyDescent="0.3">
      <c r="A3693" s="2">
        <v>45811.791666666657</v>
      </c>
      <c r="B3693">
        <f>4314.40003939908*(3/4)</f>
        <v>3235.8000295493121</v>
      </c>
    </row>
    <row r="3694" spans="1:2" x14ac:dyDescent="0.3">
      <c r="A3694" s="2">
        <v>45811.833333333343</v>
      </c>
      <c r="B3694">
        <f>4516.74031231626*(3/4)</f>
        <v>3387.555234237198</v>
      </c>
    </row>
    <row r="3695" spans="1:2" x14ac:dyDescent="0.3">
      <c r="A3695" s="2">
        <v>45811.875</v>
      </c>
      <c r="B3695">
        <f>4403.82310896012*(3/4)</f>
        <v>3302.867331720091</v>
      </c>
    </row>
    <row r="3696" spans="1:2" x14ac:dyDescent="0.3">
      <c r="A3696" s="2">
        <v>45811.916666666657</v>
      </c>
      <c r="B3696">
        <f>4015.27599644678*(3/4)</f>
        <v>3011.4569973350863</v>
      </c>
    </row>
    <row r="3697" spans="1:2" x14ac:dyDescent="0.3">
      <c r="A3697" s="2">
        <v>45811.958333333343</v>
      </c>
      <c r="B3697">
        <f>4160.70862792776*(3/4)</f>
        <v>3120.531470945818</v>
      </c>
    </row>
    <row r="3698" spans="1:2" x14ac:dyDescent="0.3">
      <c r="A3698" s="2">
        <v>45812</v>
      </c>
      <c r="B3698">
        <f>4162.22724874159*(3/4)</f>
        <v>3121.6704365561936</v>
      </c>
    </row>
    <row r="3699" spans="1:2" x14ac:dyDescent="0.3">
      <c r="A3699" s="2">
        <v>45812.041666666657</v>
      </c>
      <c r="B3699">
        <f>4055.03948081364*(3/4)</f>
        <v>3041.2796106102337</v>
      </c>
    </row>
    <row r="3700" spans="1:2" x14ac:dyDescent="0.3">
      <c r="A3700" s="2">
        <v>45812.083333333343</v>
      </c>
      <c r="B3700">
        <f>4227.24347266574*(3/4)</f>
        <v>3170.432604499304</v>
      </c>
    </row>
    <row r="3701" spans="1:2" x14ac:dyDescent="0.3">
      <c r="A3701" s="2">
        <v>45812.125</v>
      </c>
      <c r="B3701">
        <f>4280.94389874172*(3/4)</f>
        <v>3210.7079240562889</v>
      </c>
    </row>
    <row r="3702" spans="1:2" x14ac:dyDescent="0.3">
      <c r="A3702" s="2">
        <v>45812.166666666657</v>
      </c>
      <c r="B3702">
        <f>4095.03831724276*(3/4)</f>
        <v>3071.2787379320721</v>
      </c>
    </row>
    <row r="3703" spans="1:2" x14ac:dyDescent="0.3">
      <c r="A3703" s="2">
        <v>45812.208333333343</v>
      </c>
      <c r="B3703">
        <f>3870.31434564132*(3/4)</f>
        <v>2902.7357592309913</v>
      </c>
    </row>
    <row r="3704" spans="1:2" x14ac:dyDescent="0.3">
      <c r="A3704" s="2">
        <v>45812.25</v>
      </c>
      <c r="B3704">
        <f>3872.21680872418*(3/4)</f>
        <v>2904.162606543136</v>
      </c>
    </row>
    <row r="3705" spans="1:2" x14ac:dyDescent="0.3">
      <c r="A3705" s="2">
        <v>45812.291666666657</v>
      </c>
      <c r="B3705">
        <f>4067.01468664739*(3/4)</f>
        <v>3050.2610149855445</v>
      </c>
    </row>
    <row r="3706" spans="1:2" x14ac:dyDescent="0.3">
      <c r="A3706" s="2">
        <v>45812.333333333343</v>
      </c>
      <c r="B3706">
        <f>4690.18213778753*(3/4)</f>
        <v>3517.6366033406503</v>
      </c>
    </row>
    <row r="3707" spans="1:2" x14ac:dyDescent="0.3">
      <c r="A3707" s="2">
        <v>45812.375</v>
      </c>
      <c r="B3707">
        <f>4035.59238287185*(3/4)</f>
        <v>3026.6942871538849</v>
      </c>
    </row>
    <row r="3708" spans="1:2" x14ac:dyDescent="0.3">
      <c r="A3708" s="2">
        <v>45812.416666666657</v>
      </c>
      <c r="B3708">
        <f>4055.23272870924*(3/4)</f>
        <v>3041.4245465319336</v>
      </c>
    </row>
    <row r="3709" spans="1:2" x14ac:dyDescent="0.3">
      <c r="A3709" s="2">
        <v>45812.458333333343</v>
      </c>
      <c r="B3709">
        <f>4073.3183074009*(3/4)</f>
        <v>3054.988730550675</v>
      </c>
    </row>
    <row r="3710" spans="1:2" x14ac:dyDescent="0.3">
      <c r="A3710" s="2">
        <v>45812.5</v>
      </c>
      <c r="B3710">
        <f>4149.22499500121*(3/4)</f>
        <v>3111.9187462509044</v>
      </c>
    </row>
    <row r="3711" spans="1:2" x14ac:dyDescent="0.3">
      <c r="A3711" s="2">
        <v>45812.541666666657</v>
      </c>
      <c r="B3711">
        <f>4326.16521826722*(3/4)</f>
        <v>3244.6239137004141</v>
      </c>
    </row>
    <row r="3712" spans="1:2" x14ac:dyDescent="0.3">
      <c r="A3712" s="2">
        <v>45812.583333333343</v>
      </c>
      <c r="B3712">
        <f>3836.12578538402*(3/4)</f>
        <v>2877.0943390380153</v>
      </c>
    </row>
    <row r="3713" spans="1:2" x14ac:dyDescent="0.3">
      <c r="A3713" s="2">
        <v>45812.625</v>
      </c>
      <c r="B3713">
        <f>4168.31299421946*(3/4)</f>
        <v>3126.2347456645944</v>
      </c>
    </row>
    <row r="3714" spans="1:2" x14ac:dyDescent="0.3">
      <c r="A3714" s="2">
        <v>45812.666666666657</v>
      </c>
      <c r="B3714">
        <f>4676.32584667812*(3/4)</f>
        <v>3507.2443850085911</v>
      </c>
    </row>
    <row r="3715" spans="1:2" x14ac:dyDescent="0.3">
      <c r="A3715" s="2">
        <v>45812.708333333343</v>
      </c>
      <c r="B3715">
        <f>4149.25573944712*(3/4)</f>
        <v>3111.9418045853431</v>
      </c>
    </row>
    <row r="3716" spans="1:2" x14ac:dyDescent="0.3">
      <c r="A3716" s="2">
        <v>45812.75</v>
      </c>
      <c r="B3716">
        <f>4032.00841438581*(3/4)</f>
        <v>3024.0063107893566</v>
      </c>
    </row>
    <row r="3717" spans="1:2" x14ac:dyDescent="0.3">
      <c r="A3717" s="2">
        <v>45812.791666666657</v>
      </c>
      <c r="B3717">
        <f>4162.95761014224*(3/4)</f>
        <v>3122.2182076066779</v>
      </c>
    </row>
    <row r="3718" spans="1:2" x14ac:dyDescent="0.3">
      <c r="A3718" s="2">
        <v>45812.833333333343</v>
      </c>
      <c r="B3718">
        <f>4393.68948339761*(3/4)</f>
        <v>3295.2671125482111</v>
      </c>
    </row>
    <row r="3719" spans="1:2" x14ac:dyDescent="0.3">
      <c r="A3719" s="2">
        <v>45812.875</v>
      </c>
      <c r="B3719">
        <f>4220.06772205934*(3/4)</f>
        <v>3165.050791544505</v>
      </c>
    </row>
    <row r="3720" spans="1:2" x14ac:dyDescent="0.3">
      <c r="A3720" s="2">
        <v>45812.916666666657</v>
      </c>
      <c r="B3720">
        <f>3934.31041241408*(3/4)</f>
        <v>2950.7328093105625</v>
      </c>
    </row>
    <row r="3721" spans="1:2" x14ac:dyDescent="0.3">
      <c r="A3721" s="2">
        <v>45812.958333333343</v>
      </c>
      <c r="B3721">
        <f>4294.31892879472*(3/4)</f>
        <v>3220.7391965960387</v>
      </c>
    </row>
    <row r="3722" spans="1:2" x14ac:dyDescent="0.3">
      <c r="A3722" s="2">
        <v>45813</v>
      </c>
      <c r="B3722">
        <f>3898.7927430365*(3/4)</f>
        <v>2924.094557277378</v>
      </c>
    </row>
    <row r="3723" spans="1:2" x14ac:dyDescent="0.3">
      <c r="A3723" s="2">
        <v>45813.041666666657</v>
      </c>
      <c r="B3723">
        <f>3921.00595378048*(3/4)</f>
        <v>2940.7544653353598</v>
      </c>
    </row>
    <row r="3724" spans="1:2" x14ac:dyDescent="0.3">
      <c r="A3724" s="2">
        <v>45813.083333333343</v>
      </c>
      <c r="B3724">
        <f>4083.98737687576*(3/4)</f>
        <v>3062.9905326568169</v>
      </c>
    </row>
    <row r="3725" spans="1:2" x14ac:dyDescent="0.3">
      <c r="A3725" s="2">
        <v>45813.125</v>
      </c>
      <c r="B3725">
        <f>3953.4584820368*(3/4)</f>
        <v>2965.0938615275977</v>
      </c>
    </row>
    <row r="3726" spans="1:2" x14ac:dyDescent="0.3">
      <c r="A3726" s="2">
        <v>45813.166666666657</v>
      </c>
      <c r="B3726">
        <f>3948.8344197237*(3/4)</f>
        <v>2961.6258147927774</v>
      </c>
    </row>
    <row r="3727" spans="1:2" x14ac:dyDescent="0.3">
      <c r="A3727" s="2">
        <v>45813.208333333343</v>
      </c>
      <c r="B3727">
        <f>4058.52140172981*(3/4)</f>
        <v>3043.8910512973553</v>
      </c>
    </row>
    <row r="3728" spans="1:2" x14ac:dyDescent="0.3">
      <c r="A3728" s="2">
        <v>45813.25</v>
      </c>
      <c r="B3728">
        <f>4027.90981655287*(3/4)</f>
        <v>3020.9323624146518</v>
      </c>
    </row>
    <row r="3729" spans="1:2" x14ac:dyDescent="0.3">
      <c r="A3729" s="2">
        <v>45813.291666666657</v>
      </c>
      <c r="B3729">
        <f>4491.17164912675*(3/4)</f>
        <v>3368.3787368450649</v>
      </c>
    </row>
    <row r="3730" spans="1:2" x14ac:dyDescent="0.3">
      <c r="A3730" s="2">
        <v>45813.333333333343</v>
      </c>
      <c r="B3730">
        <f>4354.96143158916*(3/4)</f>
        <v>3266.2210736918732</v>
      </c>
    </row>
    <row r="3731" spans="1:2" x14ac:dyDescent="0.3">
      <c r="A3731" s="2">
        <v>45813.375</v>
      </c>
      <c r="B3731">
        <f>4451.36530937555*(3/4)</f>
        <v>3338.5239820316647</v>
      </c>
    </row>
    <row r="3732" spans="1:2" x14ac:dyDescent="0.3">
      <c r="A3732" s="2">
        <v>45813.416666666657</v>
      </c>
      <c r="B3732">
        <f>4296.34812897288*(3/4)</f>
        <v>3222.2610967296614</v>
      </c>
    </row>
    <row r="3733" spans="1:2" x14ac:dyDescent="0.3">
      <c r="A3733" s="2">
        <v>45813.458333333343</v>
      </c>
      <c r="B3733">
        <f>4163.71148012209*(3/4)</f>
        <v>3122.7836100915683</v>
      </c>
    </row>
    <row r="3734" spans="1:2" x14ac:dyDescent="0.3">
      <c r="A3734" s="2">
        <v>45813.5</v>
      </c>
      <c r="B3734">
        <f>4401.09763812226*(3/4)</f>
        <v>3300.8232285916943</v>
      </c>
    </row>
    <row r="3735" spans="1:2" x14ac:dyDescent="0.3">
      <c r="A3735" s="2">
        <v>45813.541666666657</v>
      </c>
      <c r="B3735">
        <f>4297.66188255883*(3/4)</f>
        <v>3223.2464119191213</v>
      </c>
    </row>
    <row r="3736" spans="1:2" x14ac:dyDescent="0.3">
      <c r="A3736" s="2">
        <v>45813.583333333343</v>
      </c>
      <c r="B3736">
        <f>4155.94349007325*(3/4)</f>
        <v>3116.9576175549373</v>
      </c>
    </row>
    <row r="3737" spans="1:2" x14ac:dyDescent="0.3">
      <c r="A3737" s="2">
        <v>45813.625</v>
      </c>
      <c r="B3737">
        <f>4211.464202687*(3/4)</f>
        <v>3158.5981520152491</v>
      </c>
    </row>
    <row r="3738" spans="1:2" x14ac:dyDescent="0.3">
      <c r="A3738" s="2">
        <v>45813.666666666657</v>
      </c>
      <c r="B3738">
        <f>3975.69344439676*(3/4)</f>
        <v>2981.7700832975715</v>
      </c>
    </row>
    <row r="3739" spans="1:2" x14ac:dyDescent="0.3">
      <c r="A3739" s="2">
        <v>45813.708333333343</v>
      </c>
      <c r="B3739">
        <f>4345.86178258161*(3/4)</f>
        <v>3259.3963369362041</v>
      </c>
    </row>
    <row r="3740" spans="1:2" x14ac:dyDescent="0.3">
      <c r="A3740" s="2">
        <v>45813.75</v>
      </c>
      <c r="B3740">
        <f>4174.13753648799*(3/4)</f>
        <v>3130.6031523659885</v>
      </c>
    </row>
    <row r="3741" spans="1:2" x14ac:dyDescent="0.3">
      <c r="A3741" s="2">
        <v>45813.791666666657</v>
      </c>
      <c r="B3741">
        <f>4430.11216261795*(3/4)</f>
        <v>3322.5841219634631</v>
      </c>
    </row>
    <row r="3742" spans="1:2" x14ac:dyDescent="0.3">
      <c r="A3742" s="2">
        <v>45813.833333333343</v>
      </c>
      <c r="B3742">
        <f>4375.6357757227*(3/4)</f>
        <v>3281.7268317920275</v>
      </c>
    </row>
    <row r="3743" spans="1:2" x14ac:dyDescent="0.3">
      <c r="A3743" s="2">
        <v>45813.875</v>
      </c>
      <c r="B3743">
        <f>4077.48304007413*(3/4)</f>
        <v>3058.1122800555991</v>
      </c>
    </row>
    <row r="3744" spans="1:2" x14ac:dyDescent="0.3">
      <c r="A3744" s="2">
        <v>45813.916666666657</v>
      </c>
      <c r="B3744">
        <f>3962.72449166038*(3/4)</f>
        <v>2972.0433687452842</v>
      </c>
    </row>
    <row r="3745" spans="1:2" x14ac:dyDescent="0.3">
      <c r="A3745" s="2">
        <v>45813.958333333343</v>
      </c>
      <c r="B3745">
        <f>4187.77041841597*(3/4)</f>
        <v>3140.8278138119749</v>
      </c>
    </row>
    <row r="3746" spans="1:2" x14ac:dyDescent="0.3">
      <c r="A3746" s="2">
        <v>45814</v>
      </c>
      <c r="B3746">
        <f>3957.96628013184*(3/4)</f>
        <v>2968.4747100988807</v>
      </c>
    </row>
    <row r="3747" spans="1:2" x14ac:dyDescent="0.3">
      <c r="A3747" s="2">
        <v>45814.041666666657</v>
      </c>
      <c r="B3747">
        <f>3922.3103086524*(3/4)</f>
        <v>2941.7327314892982</v>
      </c>
    </row>
    <row r="3748" spans="1:2" x14ac:dyDescent="0.3">
      <c r="A3748" s="2">
        <v>45814.083333333343</v>
      </c>
      <c r="B3748">
        <f>3982.00655763566*(3/4)</f>
        <v>2986.5049182267426</v>
      </c>
    </row>
    <row r="3749" spans="1:2" x14ac:dyDescent="0.3">
      <c r="A3749" s="2">
        <v>45814.125</v>
      </c>
      <c r="B3749">
        <f>4036.0476651158*(3/4)</f>
        <v>3027.0357488368472</v>
      </c>
    </row>
    <row r="3750" spans="1:2" x14ac:dyDescent="0.3">
      <c r="A3750" s="2">
        <v>45814.166666666657</v>
      </c>
      <c r="B3750">
        <f>4218.9589248179*(3/4)</f>
        <v>3164.2191936134213</v>
      </c>
    </row>
    <row r="3751" spans="1:2" x14ac:dyDescent="0.3">
      <c r="A3751" s="2">
        <v>45814.208333333343</v>
      </c>
      <c r="B3751">
        <f>4139.67590033416*(3/4)</f>
        <v>3104.7569252506223</v>
      </c>
    </row>
    <row r="3752" spans="1:2" x14ac:dyDescent="0.3">
      <c r="A3752" s="2">
        <v>45814.25</v>
      </c>
      <c r="B3752">
        <f>3875.90737187355*(3/4)</f>
        <v>2906.9305289051617</v>
      </c>
    </row>
    <row r="3753" spans="1:2" x14ac:dyDescent="0.3">
      <c r="A3753" s="2">
        <v>45814.291666666657</v>
      </c>
      <c r="B3753">
        <f>4218.52594817951*(3/4)</f>
        <v>3163.8944611346315</v>
      </c>
    </row>
    <row r="3754" spans="1:2" x14ac:dyDescent="0.3">
      <c r="A3754" s="2">
        <v>45814.333333333343</v>
      </c>
      <c r="B3754">
        <f>4696.86709273364*(3/4)</f>
        <v>3522.650319550231</v>
      </c>
    </row>
    <row r="3755" spans="1:2" x14ac:dyDescent="0.3">
      <c r="A3755" s="2">
        <v>45814.375</v>
      </c>
      <c r="B3755">
        <f>4101.73538829343*(3/4)</f>
        <v>3076.301541220073</v>
      </c>
    </row>
    <row r="3756" spans="1:2" x14ac:dyDescent="0.3">
      <c r="A3756" s="2">
        <v>45814.416666666657</v>
      </c>
      <c r="B3756">
        <f>4168.42171924049*(3/4)</f>
        <v>3126.3162894303641</v>
      </c>
    </row>
    <row r="3757" spans="1:2" x14ac:dyDescent="0.3">
      <c r="A3757" s="2">
        <v>45814.458333333343</v>
      </c>
      <c r="B3757">
        <f>4020.85891942024*(3/4)</f>
        <v>3015.6441895651801</v>
      </c>
    </row>
    <row r="3758" spans="1:2" x14ac:dyDescent="0.3">
      <c r="A3758" s="2">
        <v>45814.5</v>
      </c>
      <c r="B3758">
        <f>3851.74775643402*(3/4)</f>
        <v>2888.8108173255127</v>
      </c>
    </row>
    <row r="3759" spans="1:2" x14ac:dyDescent="0.3">
      <c r="A3759" s="2">
        <v>45814.541666666657</v>
      </c>
      <c r="B3759">
        <f>4109.19373795321*(3/4)</f>
        <v>3081.8953034649112</v>
      </c>
    </row>
    <row r="3760" spans="1:2" x14ac:dyDescent="0.3">
      <c r="A3760" s="2">
        <v>45814.583333333343</v>
      </c>
      <c r="B3760">
        <f>4094.91948291008*(3/4)</f>
        <v>3071.1896121825571</v>
      </c>
    </row>
    <row r="3761" spans="1:2" x14ac:dyDescent="0.3">
      <c r="A3761" s="2">
        <v>45814.625</v>
      </c>
      <c r="B3761">
        <f>4109.85405062577*(3/4)</f>
        <v>3082.3905379693306</v>
      </c>
    </row>
    <row r="3762" spans="1:2" x14ac:dyDescent="0.3">
      <c r="A3762" s="2">
        <v>45814.666666666657</v>
      </c>
      <c r="B3762">
        <f>4136.07861272769*(3/4)</f>
        <v>3102.0589595457668</v>
      </c>
    </row>
    <row r="3763" spans="1:2" x14ac:dyDescent="0.3">
      <c r="A3763" s="2">
        <v>45814.708333333343</v>
      </c>
      <c r="B3763">
        <f>4382.17957796926*(3/4)</f>
        <v>3286.6346834769452</v>
      </c>
    </row>
    <row r="3764" spans="1:2" x14ac:dyDescent="0.3">
      <c r="A3764" s="2">
        <v>45814.75</v>
      </c>
      <c r="B3764">
        <f>4382.40371288621*(3/4)</f>
        <v>3286.8027846646582</v>
      </c>
    </row>
    <row r="3765" spans="1:2" x14ac:dyDescent="0.3">
      <c r="A3765" s="2">
        <v>45814.791666666657</v>
      </c>
      <c r="B3765">
        <f>4307.73333722066*(3/4)</f>
        <v>3230.8000029154946</v>
      </c>
    </row>
    <row r="3766" spans="1:2" x14ac:dyDescent="0.3">
      <c r="A3766" s="2">
        <v>45814.833333333343</v>
      </c>
      <c r="B3766">
        <f>4087.61062274268*(3/4)</f>
        <v>3065.7079670570138</v>
      </c>
    </row>
    <row r="3767" spans="1:2" x14ac:dyDescent="0.3">
      <c r="A3767" s="2">
        <v>45814.875</v>
      </c>
      <c r="B3767">
        <f>4266.29420093556*(3/4)</f>
        <v>3199.7206507016672</v>
      </c>
    </row>
    <row r="3768" spans="1:2" x14ac:dyDescent="0.3">
      <c r="A3768" s="2">
        <v>45814.916666666657</v>
      </c>
      <c r="B3768">
        <f>4019.42322829865*(3/4)</f>
        <v>3014.5674212239906</v>
      </c>
    </row>
    <row r="3769" spans="1:2" x14ac:dyDescent="0.3">
      <c r="A3769" s="2">
        <v>45814.958333333343</v>
      </c>
      <c r="B3769">
        <f>4099.63533990298*(3/4)</f>
        <v>3074.7265049272337</v>
      </c>
    </row>
    <row r="3770" spans="1:2" x14ac:dyDescent="0.3">
      <c r="A3770" s="2">
        <v>45815</v>
      </c>
      <c r="B3770">
        <f>4305.22482015888*(3/4)</f>
        <v>3228.9186151191625</v>
      </c>
    </row>
    <row r="3771" spans="1:2" x14ac:dyDescent="0.3">
      <c r="A3771" s="2">
        <v>45815.041666666657</v>
      </c>
      <c r="B3771">
        <f>4193.381136197*(3/4)</f>
        <v>3145.0358521477488</v>
      </c>
    </row>
    <row r="3772" spans="1:2" x14ac:dyDescent="0.3">
      <c r="A3772" s="2">
        <v>45815.083333333343</v>
      </c>
      <c r="B3772">
        <f>4011.45652332484*(3/4)</f>
        <v>3008.5923924936337</v>
      </c>
    </row>
    <row r="3773" spans="1:2" x14ac:dyDescent="0.3">
      <c r="A3773" s="2">
        <v>45815.125</v>
      </c>
      <c r="B3773">
        <f>4122.13116591355*(3/4)</f>
        <v>3091.5983744351634</v>
      </c>
    </row>
    <row r="3774" spans="1:2" x14ac:dyDescent="0.3">
      <c r="A3774" s="2">
        <v>45815.166666666657</v>
      </c>
      <c r="B3774">
        <f>3950.78058719123*(3/4)</f>
        <v>2963.0854403934209</v>
      </c>
    </row>
    <row r="3775" spans="1:2" x14ac:dyDescent="0.3">
      <c r="A3775" s="2">
        <v>45815.208333333343</v>
      </c>
      <c r="B3775">
        <f>4262.39638878655*(3/4)</f>
        <v>3196.797291589909</v>
      </c>
    </row>
    <row r="3776" spans="1:2" x14ac:dyDescent="0.3">
      <c r="A3776" s="2">
        <v>45815.25</v>
      </c>
      <c r="B3776">
        <f>3887.68634488826*(3/4)</f>
        <v>2915.7647586661919</v>
      </c>
    </row>
    <row r="3777" spans="1:2" x14ac:dyDescent="0.3">
      <c r="A3777" s="2">
        <v>45815.291666666657</v>
      </c>
      <c r="B3777">
        <f>4282.10580221605*(3/4)</f>
        <v>3211.579351662037</v>
      </c>
    </row>
    <row r="3778" spans="1:2" x14ac:dyDescent="0.3">
      <c r="A3778" s="2">
        <v>45815.333333333343</v>
      </c>
      <c r="B3778">
        <f>4765.54100887679*(3/4)</f>
        <v>3574.1557566575934</v>
      </c>
    </row>
    <row r="3779" spans="1:2" x14ac:dyDescent="0.3">
      <c r="A3779" s="2">
        <v>45815.375</v>
      </c>
      <c r="B3779">
        <f>4227.50394816475*(3/4)</f>
        <v>3170.627961123565</v>
      </c>
    </row>
    <row r="3780" spans="1:2" x14ac:dyDescent="0.3">
      <c r="A3780" s="2">
        <v>45815.416666666657</v>
      </c>
      <c r="B3780">
        <f>4408.6472690576*(3/4)</f>
        <v>3306.4854517932022</v>
      </c>
    </row>
    <row r="3781" spans="1:2" x14ac:dyDescent="0.3">
      <c r="A3781" s="2">
        <v>45815.458333333343</v>
      </c>
      <c r="B3781">
        <f>4203.53044987004*(3/4)</f>
        <v>3152.6478374025328</v>
      </c>
    </row>
    <row r="3782" spans="1:2" x14ac:dyDescent="0.3">
      <c r="A3782" s="2">
        <v>45815.5</v>
      </c>
      <c r="B3782">
        <f>4482.08105043307*(3/4)</f>
        <v>3361.5607878248034</v>
      </c>
    </row>
    <row r="3783" spans="1:2" x14ac:dyDescent="0.3">
      <c r="A3783" s="2">
        <v>45815.541666666657</v>
      </c>
      <c r="B3783">
        <f>4188.63354302237*(3/4)</f>
        <v>3141.4751572667774</v>
      </c>
    </row>
    <row r="3784" spans="1:2" x14ac:dyDescent="0.3">
      <c r="A3784" s="2">
        <v>45815.583333333343</v>
      </c>
      <c r="B3784">
        <f>3819.29673970647*(3/4)</f>
        <v>2864.4725547798516</v>
      </c>
    </row>
    <row r="3785" spans="1:2" x14ac:dyDescent="0.3">
      <c r="A3785" s="2">
        <v>45815.625</v>
      </c>
      <c r="B3785">
        <f>4323.34470588973*(3/4)</f>
        <v>3242.5085294172968</v>
      </c>
    </row>
    <row r="3786" spans="1:2" x14ac:dyDescent="0.3">
      <c r="A3786" s="2">
        <v>45815.666666666657</v>
      </c>
      <c r="B3786">
        <f>4392.61543055464*(3/4)</f>
        <v>3294.4615729159791</v>
      </c>
    </row>
    <row r="3787" spans="1:2" x14ac:dyDescent="0.3">
      <c r="A3787" s="2">
        <v>45815.708333333343</v>
      </c>
      <c r="B3787">
        <f>4340.81611307015*(3/4)</f>
        <v>3255.6120848026103</v>
      </c>
    </row>
    <row r="3788" spans="1:2" x14ac:dyDescent="0.3">
      <c r="A3788" s="2">
        <v>45815.75</v>
      </c>
      <c r="B3788">
        <f>4274.75136316935*(3/4)</f>
        <v>3206.0635223770146</v>
      </c>
    </row>
    <row r="3789" spans="1:2" x14ac:dyDescent="0.3">
      <c r="A3789" s="2">
        <v>45815.791666666657</v>
      </c>
      <c r="B3789">
        <f>4278.3492709836*(3/4)</f>
        <v>3208.7619532377012</v>
      </c>
    </row>
    <row r="3790" spans="1:2" x14ac:dyDescent="0.3">
      <c r="A3790" s="2">
        <v>45815.833333333343</v>
      </c>
      <c r="B3790">
        <f>4329.38460113233*(3/4)</f>
        <v>3247.0384508492457</v>
      </c>
    </row>
    <row r="3791" spans="1:2" x14ac:dyDescent="0.3">
      <c r="A3791" s="2">
        <v>45815.875</v>
      </c>
      <c r="B3791">
        <f>4365.72219255407*(3/4)</f>
        <v>3274.2916444155553</v>
      </c>
    </row>
    <row r="3792" spans="1:2" x14ac:dyDescent="0.3">
      <c r="A3792" s="2">
        <v>45815.916666666657</v>
      </c>
      <c r="B3792">
        <f>3864.25149816909*(3/4)</f>
        <v>2898.1886236268201</v>
      </c>
    </row>
    <row r="3793" spans="1:2" x14ac:dyDescent="0.3">
      <c r="A3793" s="2">
        <v>45815.958333333343</v>
      </c>
      <c r="B3793">
        <f>3994.23972155108*(3/4)</f>
        <v>2995.6797911633107</v>
      </c>
    </row>
    <row r="3794" spans="1:2" x14ac:dyDescent="0.3">
      <c r="A3794" s="2">
        <v>45816</v>
      </c>
      <c r="B3794">
        <f>4381.26703691028*(3/4)</f>
        <v>3285.950277682713</v>
      </c>
    </row>
    <row r="3795" spans="1:2" x14ac:dyDescent="0.3">
      <c r="A3795" s="2">
        <v>45816.041666666657</v>
      </c>
      <c r="B3795">
        <f>4041.48524915019*(3/4)</f>
        <v>3031.1139368626455</v>
      </c>
    </row>
    <row r="3796" spans="1:2" x14ac:dyDescent="0.3">
      <c r="A3796" s="2">
        <v>45816.083333333343</v>
      </c>
      <c r="B3796">
        <f>4230.37271039255*(3/4)</f>
        <v>3172.7795327944159</v>
      </c>
    </row>
    <row r="3797" spans="1:2" x14ac:dyDescent="0.3">
      <c r="A3797" s="2">
        <v>45816.125</v>
      </c>
      <c r="B3797">
        <f>4190.46020471609*(3/4)</f>
        <v>3142.8451535370673</v>
      </c>
    </row>
    <row r="3798" spans="1:2" x14ac:dyDescent="0.3">
      <c r="A3798" s="2">
        <v>45816.166666666657</v>
      </c>
      <c r="B3798">
        <f>4070.75317574987*(3/4)</f>
        <v>3053.0648818123987</v>
      </c>
    </row>
    <row r="3799" spans="1:2" x14ac:dyDescent="0.3">
      <c r="A3799" s="2">
        <v>45816.208333333343</v>
      </c>
      <c r="B3799">
        <f>3868.83997963443*(3/4)</f>
        <v>2901.6299847258233</v>
      </c>
    </row>
    <row r="3800" spans="1:2" x14ac:dyDescent="0.3">
      <c r="A3800" s="2">
        <v>45816.25</v>
      </c>
      <c r="B3800">
        <f>3838.25470673814*(3/4)</f>
        <v>2878.6910300536028</v>
      </c>
    </row>
    <row r="3801" spans="1:2" x14ac:dyDescent="0.3">
      <c r="A3801" s="2">
        <v>45816.291666666657</v>
      </c>
      <c r="B3801">
        <f>4353.9659566774*(3/4)</f>
        <v>3265.474467508051</v>
      </c>
    </row>
    <row r="3802" spans="1:2" x14ac:dyDescent="0.3">
      <c r="A3802" s="2">
        <v>45816.333333333343</v>
      </c>
      <c r="B3802">
        <f>3233.26458785283*(3/4)</f>
        <v>2424.9484408896219</v>
      </c>
    </row>
    <row r="3803" spans="1:2" x14ac:dyDescent="0.3">
      <c r="A3803" s="2">
        <v>45816.375</v>
      </c>
      <c r="B3803">
        <f>3355.35607524168*(3/4)</f>
        <v>2516.5170564312607</v>
      </c>
    </row>
    <row r="3804" spans="1:2" x14ac:dyDescent="0.3">
      <c r="A3804" s="2">
        <v>45816.416666666657</v>
      </c>
      <c r="B3804">
        <f>3515.19106005525*(3/4)</f>
        <v>2636.3932950414337</v>
      </c>
    </row>
    <row r="3805" spans="1:2" x14ac:dyDescent="0.3">
      <c r="A3805" s="2">
        <v>45816.458333333343</v>
      </c>
      <c r="B3805">
        <f>3341.32493897921*(3/4)</f>
        <v>2505.9937042344054</v>
      </c>
    </row>
    <row r="3806" spans="1:2" x14ac:dyDescent="0.3">
      <c r="A3806" s="2">
        <v>45816.5</v>
      </c>
      <c r="B3806">
        <f>3558.25472957511*(3/4)</f>
        <v>2668.6910471813308</v>
      </c>
    </row>
    <row r="3807" spans="1:2" x14ac:dyDescent="0.3">
      <c r="A3807" s="2">
        <v>45816.541666666657</v>
      </c>
      <c r="B3807">
        <f>3412.82260462013*(3/4)</f>
        <v>2559.6169534651012</v>
      </c>
    </row>
    <row r="3808" spans="1:2" x14ac:dyDescent="0.3">
      <c r="A3808" s="2">
        <v>45816.583333333343</v>
      </c>
      <c r="B3808">
        <f>3165.60950233543*(3/4)</f>
        <v>2374.2071267515694</v>
      </c>
    </row>
    <row r="3809" spans="1:2" x14ac:dyDescent="0.3">
      <c r="A3809" s="2">
        <v>45816.625</v>
      </c>
      <c r="B3809">
        <f>3619.0946745335*(3/4)</f>
        <v>2714.3210059001262</v>
      </c>
    </row>
    <row r="3810" spans="1:2" x14ac:dyDescent="0.3">
      <c r="A3810" s="2">
        <v>45816.666666666657</v>
      </c>
      <c r="B3810">
        <f>3306.13299844437*(3/4)</f>
        <v>2479.5997488332746</v>
      </c>
    </row>
    <row r="3811" spans="1:2" x14ac:dyDescent="0.3">
      <c r="A3811" s="2">
        <v>45816.708333333343</v>
      </c>
      <c r="B3811">
        <f>4303.13899669438*(3/4)</f>
        <v>3227.3542475207878</v>
      </c>
    </row>
    <row r="3812" spans="1:2" x14ac:dyDescent="0.3">
      <c r="A3812" s="2">
        <v>45816.75</v>
      </c>
      <c r="B3812">
        <f>4216.62611380209*(3/4)</f>
        <v>3162.4695853515668</v>
      </c>
    </row>
    <row r="3813" spans="1:2" x14ac:dyDescent="0.3">
      <c r="A3813" s="2">
        <v>45816.791666666657</v>
      </c>
      <c r="B3813">
        <f>4136.4408363718*(3/4)</f>
        <v>3102.3306272788495</v>
      </c>
    </row>
    <row r="3814" spans="1:2" x14ac:dyDescent="0.3">
      <c r="A3814" s="2">
        <v>45816.833333333343</v>
      </c>
      <c r="B3814">
        <f>4347.37462529593*(3/4)</f>
        <v>3260.5309689719479</v>
      </c>
    </row>
    <row r="3815" spans="1:2" x14ac:dyDescent="0.3">
      <c r="A3815" s="2">
        <v>45816.875</v>
      </c>
      <c r="B3815">
        <f>4335.70964977037*(3/4)</f>
        <v>3251.7822373277745</v>
      </c>
    </row>
    <row r="3816" spans="1:2" x14ac:dyDescent="0.3">
      <c r="A3816" s="2">
        <v>45816.916666666657</v>
      </c>
      <c r="B3816">
        <f>3884.43087109102*(3/4)</f>
        <v>2913.3231533182657</v>
      </c>
    </row>
    <row r="3817" spans="1:2" x14ac:dyDescent="0.3">
      <c r="A3817" s="2">
        <v>45816.958333333343</v>
      </c>
      <c r="B3817">
        <f>4242.86486801606*(3/4)</f>
        <v>3182.1486510120453</v>
      </c>
    </row>
    <row r="3818" spans="1:2" x14ac:dyDescent="0.3">
      <c r="A3818" s="2">
        <v>45817</v>
      </c>
      <c r="B3818">
        <f>4454.74366360697*(3/4)</f>
        <v>3341.0577477052238</v>
      </c>
    </row>
    <row r="3819" spans="1:2" x14ac:dyDescent="0.3">
      <c r="A3819" s="2">
        <v>45817.041666666657</v>
      </c>
      <c r="B3819">
        <f>4082.26861529294*(3/4)</f>
        <v>3061.7014614697027</v>
      </c>
    </row>
    <row r="3820" spans="1:2" x14ac:dyDescent="0.3">
      <c r="A3820" s="2">
        <v>45817.083333333343</v>
      </c>
      <c r="B3820">
        <f>3962.23287368436*(3/4)</f>
        <v>2971.6746552632676</v>
      </c>
    </row>
    <row r="3821" spans="1:2" x14ac:dyDescent="0.3">
      <c r="A3821" s="2">
        <v>45817.125</v>
      </c>
      <c r="B3821">
        <f>4283.82799981998*(3/4)</f>
        <v>3212.8709998649829</v>
      </c>
    </row>
    <row r="3822" spans="1:2" x14ac:dyDescent="0.3">
      <c r="A3822" s="2">
        <v>45817.166666666657</v>
      </c>
      <c r="B3822">
        <f>4024.65779269325*(3/4)</f>
        <v>3018.4933445199399</v>
      </c>
    </row>
    <row r="3823" spans="1:2" x14ac:dyDescent="0.3">
      <c r="A3823" s="2">
        <v>45817.208333333343</v>
      </c>
      <c r="B3823">
        <f>4189.32803206855*(3/4)</f>
        <v>3141.9960240514156</v>
      </c>
    </row>
    <row r="3824" spans="1:2" x14ac:dyDescent="0.3">
      <c r="A3824" s="2">
        <v>45817.25</v>
      </c>
      <c r="B3824">
        <f>3768.17948851221*(3/4)</f>
        <v>2826.1346163841563</v>
      </c>
    </row>
    <row r="3825" spans="1:2" x14ac:dyDescent="0.3">
      <c r="A3825" s="2">
        <v>45817.291666666657</v>
      </c>
      <c r="B3825">
        <f>4426.85825814253*(3/4)</f>
        <v>3320.1436936068994</v>
      </c>
    </row>
    <row r="3826" spans="1:2" x14ac:dyDescent="0.3">
      <c r="A3826" s="2">
        <v>45817.333333333343</v>
      </c>
      <c r="B3826">
        <f>4276.10696335051*(3/4)</f>
        <v>3207.0802225128818</v>
      </c>
    </row>
    <row r="3827" spans="1:2" x14ac:dyDescent="0.3">
      <c r="A3827" s="2">
        <v>45817.375</v>
      </c>
      <c r="B3827">
        <f>3984.2983295623*(3/4)</f>
        <v>2988.2237471717249</v>
      </c>
    </row>
    <row r="3828" spans="1:2" x14ac:dyDescent="0.3">
      <c r="A3828" s="2">
        <v>45817.416666666657</v>
      </c>
      <c r="B3828">
        <f>4168.38580935846*(3/4)</f>
        <v>3126.2893570188471</v>
      </c>
    </row>
    <row r="3829" spans="1:2" x14ac:dyDescent="0.3">
      <c r="A3829" s="2">
        <v>45817.458333333343</v>
      </c>
      <c r="B3829">
        <f>4107.84845657883*(3/4)</f>
        <v>3080.8863424341262</v>
      </c>
    </row>
    <row r="3830" spans="1:2" x14ac:dyDescent="0.3">
      <c r="A3830" s="2">
        <v>45817.5</v>
      </c>
      <c r="B3830">
        <f>4288.54354412286*(3/4)</f>
        <v>3216.4076580921419</v>
      </c>
    </row>
    <row r="3831" spans="1:2" x14ac:dyDescent="0.3">
      <c r="A3831" s="2">
        <v>45817.541666666657</v>
      </c>
      <c r="B3831">
        <f>4300.36176804438*(3/4)</f>
        <v>3225.2713260332839</v>
      </c>
    </row>
    <row r="3832" spans="1:2" x14ac:dyDescent="0.3">
      <c r="A3832" s="2">
        <v>45817.583333333343</v>
      </c>
      <c r="B3832">
        <f>3858.5455903037*(3/4)</f>
        <v>2893.9091927277759</v>
      </c>
    </row>
    <row r="3833" spans="1:2" x14ac:dyDescent="0.3">
      <c r="A3833" s="2">
        <v>45817.625</v>
      </c>
      <c r="B3833">
        <f>3930.73106325365*(3/4)</f>
        <v>2948.0482974402407</v>
      </c>
    </row>
    <row r="3834" spans="1:2" x14ac:dyDescent="0.3">
      <c r="A3834" s="2">
        <v>45817.666666666657</v>
      </c>
      <c r="B3834">
        <f>4274.48624055003*(3/4)</f>
        <v>3205.8646804125224</v>
      </c>
    </row>
    <row r="3835" spans="1:2" x14ac:dyDescent="0.3">
      <c r="A3835" s="2">
        <v>45817.708333333343</v>
      </c>
      <c r="B3835">
        <f>4031.0808608155*(3/4)</f>
        <v>3023.3106456116234</v>
      </c>
    </row>
    <row r="3836" spans="1:2" x14ac:dyDescent="0.3">
      <c r="A3836" s="2">
        <v>45817.75</v>
      </c>
      <c r="B3836">
        <f>4182.91267126633*(3/4)</f>
        <v>3137.1845034497442</v>
      </c>
    </row>
    <row r="3837" spans="1:2" x14ac:dyDescent="0.3">
      <c r="A3837" s="2">
        <v>45817.791666666657</v>
      </c>
      <c r="B3837">
        <f>4115.13379274634*(3/4)</f>
        <v>3086.3503445597571</v>
      </c>
    </row>
    <row r="3838" spans="1:2" x14ac:dyDescent="0.3">
      <c r="A3838" s="2">
        <v>45817.833333333343</v>
      </c>
      <c r="B3838">
        <f>4532.16759121686*(3/4)</f>
        <v>3399.125693412645</v>
      </c>
    </row>
    <row r="3839" spans="1:2" x14ac:dyDescent="0.3">
      <c r="A3839" s="2">
        <v>45817.875</v>
      </c>
      <c r="B3839">
        <f>4373.67758169278*(3/4)</f>
        <v>3280.2581862695861</v>
      </c>
    </row>
    <row r="3840" spans="1:2" x14ac:dyDescent="0.3">
      <c r="A3840" s="2">
        <v>45817.916666666657</v>
      </c>
      <c r="B3840">
        <f>3793.37726490876*(3/4)</f>
        <v>2845.0329486815676</v>
      </c>
    </row>
    <row r="3841" spans="1:2" x14ac:dyDescent="0.3">
      <c r="A3841" s="2">
        <v>45817.958333333343</v>
      </c>
      <c r="B3841">
        <f>4140.31408403929*(3/4)</f>
        <v>3105.2355630294669</v>
      </c>
    </row>
    <row r="3842" spans="1:2" x14ac:dyDescent="0.3">
      <c r="A3842" s="2">
        <v>45818</v>
      </c>
      <c r="B3842">
        <f>4008.32370744805*(3/4)</f>
        <v>3006.2427805860375</v>
      </c>
    </row>
    <row r="3843" spans="1:2" x14ac:dyDescent="0.3">
      <c r="A3843" s="2">
        <v>45818.041666666657</v>
      </c>
      <c r="B3843">
        <f>4159.4155139665*(3/4)</f>
        <v>3119.5616354748745</v>
      </c>
    </row>
    <row r="3844" spans="1:2" x14ac:dyDescent="0.3">
      <c r="A3844" s="2">
        <v>45818.083333333343</v>
      </c>
      <c r="B3844">
        <f>4123.62728761091*(3/4)</f>
        <v>3092.7204657081829</v>
      </c>
    </row>
    <row r="3845" spans="1:2" x14ac:dyDescent="0.3">
      <c r="A3845" s="2">
        <v>45818.125</v>
      </c>
      <c r="B3845">
        <f>4009.58620705058*(3/4)</f>
        <v>3007.189655287938</v>
      </c>
    </row>
    <row r="3846" spans="1:2" x14ac:dyDescent="0.3">
      <c r="A3846" s="2">
        <v>45818.166666666657</v>
      </c>
      <c r="B3846">
        <f>4139.4006783392*(3/4)</f>
        <v>3104.5505087544016</v>
      </c>
    </row>
    <row r="3847" spans="1:2" x14ac:dyDescent="0.3">
      <c r="A3847" s="2">
        <v>45818.208333333343</v>
      </c>
      <c r="B3847">
        <f>4156.42314045105*(3/4)</f>
        <v>3117.3173553382912</v>
      </c>
    </row>
    <row r="3848" spans="1:2" x14ac:dyDescent="0.3">
      <c r="A3848" s="2">
        <v>45818.25</v>
      </c>
      <c r="B3848">
        <f>4102.64785760512*(3/4)</f>
        <v>3076.9858932038369</v>
      </c>
    </row>
    <row r="3849" spans="1:2" x14ac:dyDescent="0.3">
      <c r="A3849" s="2">
        <v>45818.291666666657</v>
      </c>
      <c r="B3849">
        <f>4394.71968153576*(3/4)</f>
        <v>3296.0397611518183</v>
      </c>
    </row>
    <row r="3850" spans="1:2" x14ac:dyDescent="0.3">
      <c r="A3850" s="2">
        <v>45818.333333333343</v>
      </c>
      <c r="B3850">
        <f>3991.15392757476*(3/4)</f>
        <v>2993.3654456810686</v>
      </c>
    </row>
    <row r="3851" spans="1:2" x14ac:dyDescent="0.3">
      <c r="A3851" s="2">
        <v>45818.375</v>
      </c>
      <c r="B3851">
        <f>4365.78983464557*(3/4)</f>
        <v>3274.3423759841812</v>
      </c>
    </row>
    <row r="3852" spans="1:2" x14ac:dyDescent="0.3">
      <c r="A3852" s="2">
        <v>45818.416666666657</v>
      </c>
      <c r="B3852">
        <f>4078.30569686787*(3/4)</f>
        <v>3058.7292726508995</v>
      </c>
    </row>
    <row r="3853" spans="1:2" x14ac:dyDescent="0.3">
      <c r="A3853" s="2">
        <v>45818.458333333343</v>
      </c>
      <c r="B3853">
        <f>4203.29624487552*(3/4)</f>
        <v>3152.4721836566396</v>
      </c>
    </row>
    <row r="3854" spans="1:2" x14ac:dyDescent="0.3">
      <c r="A3854" s="2">
        <v>45818.5</v>
      </c>
      <c r="B3854">
        <f>4779.14886028537*(3/4)</f>
        <v>3584.3616452140277</v>
      </c>
    </row>
    <row r="3855" spans="1:2" x14ac:dyDescent="0.3">
      <c r="A3855" s="2">
        <v>45818.541666666657</v>
      </c>
      <c r="B3855">
        <f>4265.90749771205*(3/4)</f>
        <v>3199.4306232840354</v>
      </c>
    </row>
    <row r="3856" spans="1:2" x14ac:dyDescent="0.3">
      <c r="A3856" s="2">
        <v>45818.583333333343</v>
      </c>
      <c r="B3856">
        <f>3700.42580015153*(3/4)</f>
        <v>2775.3193501136452</v>
      </c>
    </row>
    <row r="3857" spans="1:2" x14ac:dyDescent="0.3">
      <c r="A3857" s="2">
        <v>45818.625</v>
      </c>
      <c r="B3857">
        <f>4036.31070991649*(3/4)</f>
        <v>3027.2330324373697</v>
      </c>
    </row>
    <row r="3858" spans="1:2" x14ac:dyDescent="0.3">
      <c r="A3858" s="2">
        <v>45818.666666666657</v>
      </c>
      <c r="B3858">
        <f>4777.19762776033*(3/4)</f>
        <v>3582.8982208202478</v>
      </c>
    </row>
    <row r="3859" spans="1:2" x14ac:dyDescent="0.3">
      <c r="A3859" s="2">
        <v>45818.708333333343</v>
      </c>
      <c r="B3859">
        <f>4243.56130357848*(3/4)</f>
        <v>3182.6709776838593</v>
      </c>
    </row>
    <row r="3860" spans="1:2" x14ac:dyDescent="0.3">
      <c r="A3860" s="2">
        <v>45818.75</v>
      </c>
      <c r="B3860">
        <f>4049.31910382228*(3/4)</f>
        <v>3036.9893278667105</v>
      </c>
    </row>
    <row r="3861" spans="1:2" x14ac:dyDescent="0.3">
      <c r="A3861" s="2">
        <v>45818.791666666657</v>
      </c>
      <c r="B3861">
        <f>4132.25809627557*(3/4)</f>
        <v>3099.1935722066742</v>
      </c>
    </row>
    <row r="3862" spans="1:2" x14ac:dyDescent="0.3">
      <c r="A3862" s="2">
        <v>45818.833333333343</v>
      </c>
      <c r="B3862">
        <f>4549.21211243446*(3/4)</f>
        <v>3411.9090843258446</v>
      </c>
    </row>
    <row r="3863" spans="1:2" x14ac:dyDescent="0.3">
      <c r="A3863" s="2">
        <v>45818.875</v>
      </c>
      <c r="B3863">
        <f>4204.96351286402*(3/4)</f>
        <v>3153.7226346480179</v>
      </c>
    </row>
    <row r="3864" spans="1:2" x14ac:dyDescent="0.3">
      <c r="A3864" s="2">
        <v>45818.916666666657</v>
      </c>
      <c r="B3864">
        <f>3977.7565455031*(3/4)</f>
        <v>2983.3174091273218</v>
      </c>
    </row>
    <row r="3865" spans="1:2" x14ac:dyDescent="0.3">
      <c r="A3865" s="2">
        <v>45818.958333333343</v>
      </c>
      <c r="B3865">
        <f>3871.308128998*(3/4)</f>
        <v>2903.4810967485023</v>
      </c>
    </row>
    <row r="3866" spans="1:2" x14ac:dyDescent="0.3">
      <c r="A3866" s="2">
        <v>45819</v>
      </c>
      <c r="B3866">
        <f>4042.88093116138*(3/4)</f>
        <v>3032.1606983710362</v>
      </c>
    </row>
    <row r="3867" spans="1:2" x14ac:dyDescent="0.3">
      <c r="A3867" s="2">
        <v>45819.041666666657</v>
      </c>
      <c r="B3867">
        <f>3968.89674783962*(3/4)</f>
        <v>2976.6725608797133</v>
      </c>
    </row>
    <row r="3868" spans="1:2" x14ac:dyDescent="0.3">
      <c r="A3868" s="2">
        <v>45819.083333333343</v>
      </c>
      <c r="B3868">
        <f>3994.371462875*(3/4)</f>
        <v>2995.7785971562516</v>
      </c>
    </row>
    <row r="3869" spans="1:2" x14ac:dyDescent="0.3">
      <c r="A3869" s="2">
        <v>45819.125</v>
      </c>
      <c r="B3869">
        <f>3938.63766940935*(3/4)</f>
        <v>2953.9782520570088</v>
      </c>
    </row>
    <row r="3870" spans="1:2" x14ac:dyDescent="0.3">
      <c r="A3870" s="2">
        <v>45819.166666666657</v>
      </c>
      <c r="B3870">
        <f>4247.35263810612*(3/4)</f>
        <v>3185.5144785795928</v>
      </c>
    </row>
    <row r="3871" spans="1:2" x14ac:dyDescent="0.3">
      <c r="A3871" s="2">
        <v>45819.208333333343</v>
      </c>
      <c r="B3871">
        <f>4231.30520994702*(3/4)</f>
        <v>3173.4789074602641</v>
      </c>
    </row>
    <row r="3872" spans="1:2" x14ac:dyDescent="0.3">
      <c r="A3872" s="2">
        <v>45819.25</v>
      </c>
      <c r="B3872">
        <f>3808.32594725582*(3/4)</f>
        <v>2856.2444604418665</v>
      </c>
    </row>
    <row r="3873" spans="1:2" x14ac:dyDescent="0.3">
      <c r="A3873" s="2">
        <v>45819.291666666657</v>
      </c>
      <c r="B3873">
        <f>4388.15542218718*(3/4)</f>
        <v>3291.1165666403849</v>
      </c>
    </row>
    <row r="3874" spans="1:2" x14ac:dyDescent="0.3">
      <c r="A3874" s="2">
        <v>45819.333333333343</v>
      </c>
      <c r="B3874">
        <f>4473.24391540528*(3/4)</f>
        <v>3354.9329365539593</v>
      </c>
    </row>
    <row r="3875" spans="1:2" x14ac:dyDescent="0.3">
      <c r="A3875" s="2">
        <v>45819.375</v>
      </c>
      <c r="B3875">
        <f>4368.70761738621*(3/4)</f>
        <v>3276.5307130396559</v>
      </c>
    </row>
    <row r="3876" spans="1:2" x14ac:dyDescent="0.3">
      <c r="A3876" s="2">
        <v>45819.416666666657</v>
      </c>
      <c r="B3876">
        <f>4223.77306529328*(3/4)</f>
        <v>3167.8297989699622</v>
      </c>
    </row>
    <row r="3877" spans="1:2" x14ac:dyDescent="0.3">
      <c r="A3877" s="2">
        <v>45819.458333333343</v>
      </c>
      <c r="B3877">
        <f>4153.26189717242*(3/4)</f>
        <v>3114.9464228793126</v>
      </c>
    </row>
    <row r="3878" spans="1:2" x14ac:dyDescent="0.3">
      <c r="A3878" s="2">
        <v>45819.5</v>
      </c>
      <c r="B3878">
        <f>4415.4960543374*(3/4)</f>
        <v>3311.6220407530518</v>
      </c>
    </row>
    <row r="3879" spans="1:2" x14ac:dyDescent="0.3">
      <c r="A3879" s="2">
        <v>45819.541666666657</v>
      </c>
      <c r="B3879">
        <f>4297.53756245611*(3/4)</f>
        <v>3223.1531718420829</v>
      </c>
    </row>
    <row r="3880" spans="1:2" x14ac:dyDescent="0.3">
      <c r="A3880" s="2">
        <v>45819.583333333343</v>
      </c>
      <c r="B3880">
        <f>3843.94374436921*(3/4)</f>
        <v>2882.9578082769081</v>
      </c>
    </row>
    <row r="3881" spans="1:2" x14ac:dyDescent="0.3">
      <c r="A3881" s="2">
        <v>45819.625</v>
      </c>
      <c r="B3881">
        <f>4312.22309799021*(3/4)</f>
        <v>3234.1673234926579</v>
      </c>
    </row>
    <row r="3882" spans="1:2" x14ac:dyDescent="0.3">
      <c r="A3882" s="2">
        <v>45819.666666666657</v>
      </c>
      <c r="B3882">
        <f>4036.79005592472*(3/4)</f>
        <v>3027.5925419435416</v>
      </c>
    </row>
    <row r="3883" spans="1:2" x14ac:dyDescent="0.3">
      <c r="A3883" s="2">
        <v>45819.708333333343</v>
      </c>
      <c r="B3883">
        <f>4331.18317946595*(3/4)</f>
        <v>3248.3873845994626</v>
      </c>
    </row>
    <row r="3884" spans="1:2" x14ac:dyDescent="0.3">
      <c r="A3884" s="2">
        <v>45819.75</v>
      </c>
      <c r="B3884">
        <f>4128.06522280301*(3/4)</f>
        <v>3096.0489171022609</v>
      </c>
    </row>
    <row r="3885" spans="1:2" x14ac:dyDescent="0.3">
      <c r="A3885" s="2">
        <v>45819.791666666657</v>
      </c>
      <c r="B3885">
        <f>4091.59001990046*(3/4)</f>
        <v>3068.6925149253466</v>
      </c>
    </row>
    <row r="3886" spans="1:2" x14ac:dyDescent="0.3">
      <c r="A3886" s="2">
        <v>45819.833333333343</v>
      </c>
      <c r="B3886">
        <f>4426.62022833208*(3/4)</f>
        <v>3319.9651712490572</v>
      </c>
    </row>
    <row r="3887" spans="1:2" x14ac:dyDescent="0.3">
      <c r="A3887" s="2">
        <v>45819.875</v>
      </c>
      <c r="B3887">
        <f>4159.1999152393*(3/4)</f>
        <v>3119.3999364294732</v>
      </c>
    </row>
    <row r="3888" spans="1:2" x14ac:dyDescent="0.3">
      <c r="A3888" s="2">
        <v>45819.916666666657</v>
      </c>
      <c r="B3888">
        <f>3948.10157213365*(3/4)</f>
        <v>2961.0761791002351</v>
      </c>
    </row>
    <row r="3889" spans="1:2" x14ac:dyDescent="0.3">
      <c r="A3889" s="2">
        <v>45819.958333333343</v>
      </c>
      <c r="B3889">
        <f>3941.9358680546*(3/4)</f>
        <v>2956.4519010409472</v>
      </c>
    </row>
    <row r="3890" spans="1:2" x14ac:dyDescent="0.3">
      <c r="A3890" s="2">
        <v>45820</v>
      </c>
      <c r="B3890">
        <f>4214.15570590936*(3/4)</f>
        <v>3160.6167794320168</v>
      </c>
    </row>
    <row r="3891" spans="1:2" x14ac:dyDescent="0.3">
      <c r="A3891" s="2">
        <v>45820.041666666657</v>
      </c>
      <c r="B3891">
        <f>4264.25570723848*(3/4)</f>
        <v>3198.1917804288623</v>
      </c>
    </row>
    <row r="3892" spans="1:2" x14ac:dyDescent="0.3">
      <c r="A3892" s="2">
        <v>45820.083333333343</v>
      </c>
      <c r="B3892">
        <f>4224.69068187522*(3/4)</f>
        <v>3168.5180114064151</v>
      </c>
    </row>
    <row r="3893" spans="1:2" x14ac:dyDescent="0.3">
      <c r="A3893" s="2">
        <v>45820.125</v>
      </c>
      <c r="B3893">
        <f>4090.05051313533*(3/4)</f>
        <v>3067.5378848514974</v>
      </c>
    </row>
    <row r="3894" spans="1:2" x14ac:dyDescent="0.3">
      <c r="A3894" s="2">
        <v>45820.166666666657</v>
      </c>
      <c r="B3894">
        <f>3906.09566087147*(3/4)</f>
        <v>2929.5717456536013</v>
      </c>
    </row>
    <row r="3895" spans="1:2" x14ac:dyDescent="0.3">
      <c r="A3895" s="2">
        <v>45820.208333333343</v>
      </c>
      <c r="B3895">
        <f>4209.18505584461*(3/4)</f>
        <v>3156.888791883458</v>
      </c>
    </row>
    <row r="3896" spans="1:2" x14ac:dyDescent="0.3">
      <c r="A3896" s="2">
        <v>45820.25</v>
      </c>
      <c r="B3896">
        <f>4072.74298853628*(3/4)</f>
        <v>3054.557241402209</v>
      </c>
    </row>
    <row r="3897" spans="1:2" x14ac:dyDescent="0.3">
      <c r="A3897" s="2">
        <v>45820.291666666657</v>
      </c>
      <c r="B3897">
        <f>4196.80604405323*(3/4)</f>
        <v>3147.6045330399252</v>
      </c>
    </row>
    <row r="3898" spans="1:2" x14ac:dyDescent="0.3">
      <c r="A3898" s="2">
        <v>45820.333333333343</v>
      </c>
      <c r="B3898">
        <f>4089.69963035903*(3/4)</f>
        <v>3067.2747227692712</v>
      </c>
    </row>
    <row r="3899" spans="1:2" x14ac:dyDescent="0.3">
      <c r="A3899" s="2">
        <v>45820.375</v>
      </c>
      <c r="B3899">
        <f>4286.66714094868*(3/4)</f>
        <v>3215.0003557115106</v>
      </c>
    </row>
    <row r="3900" spans="1:2" x14ac:dyDescent="0.3">
      <c r="A3900" s="2">
        <v>45820.416666666657</v>
      </c>
      <c r="B3900">
        <f>4032.27099478487*(3/4)</f>
        <v>3024.2032460886494</v>
      </c>
    </row>
    <row r="3901" spans="1:2" x14ac:dyDescent="0.3">
      <c r="A3901" s="2">
        <v>45820.458333333343</v>
      </c>
      <c r="B3901">
        <f>4519.12497621432*(3/4)</f>
        <v>3389.3437321607412</v>
      </c>
    </row>
    <row r="3902" spans="1:2" x14ac:dyDescent="0.3">
      <c r="A3902" s="2">
        <v>45820.5</v>
      </c>
      <c r="B3902">
        <f>4136.78904749578*(3/4)</f>
        <v>3102.591785621838</v>
      </c>
    </row>
    <row r="3903" spans="1:2" x14ac:dyDescent="0.3">
      <c r="A3903" s="2">
        <v>45820.541666666657</v>
      </c>
      <c r="B3903">
        <f>4298.808562452*(3/4)</f>
        <v>3224.1064218390006</v>
      </c>
    </row>
    <row r="3904" spans="1:2" x14ac:dyDescent="0.3">
      <c r="A3904" s="2">
        <v>45820.583333333343</v>
      </c>
      <c r="B3904">
        <f>3710.61572090252*(3/4)</f>
        <v>2782.9617906768908</v>
      </c>
    </row>
    <row r="3905" spans="1:2" x14ac:dyDescent="0.3">
      <c r="A3905" s="2">
        <v>45820.625</v>
      </c>
      <c r="B3905">
        <f>4006.46999696352*(3/4)</f>
        <v>3004.8524977226384</v>
      </c>
    </row>
    <row r="3906" spans="1:2" x14ac:dyDescent="0.3">
      <c r="A3906" s="2">
        <v>45820.666666666657</v>
      </c>
      <c r="B3906">
        <f>3579.73439748806*(3/4)</f>
        <v>2684.8007981160472</v>
      </c>
    </row>
    <row r="3907" spans="1:2" x14ac:dyDescent="0.3">
      <c r="A3907" s="2">
        <v>45820.708333333343</v>
      </c>
      <c r="B3907">
        <f>4278.36252893205*(3/4)</f>
        <v>3208.771896699036</v>
      </c>
    </row>
    <row r="3908" spans="1:2" x14ac:dyDescent="0.3">
      <c r="A3908" s="2">
        <v>45820.75</v>
      </c>
      <c r="B3908">
        <f>4347.22687350079*(3/4)</f>
        <v>3260.4201551255892</v>
      </c>
    </row>
    <row r="3909" spans="1:2" x14ac:dyDescent="0.3">
      <c r="A3909" s="2">
        <v>45820.791666666657</v>
      </c>
      <c r="B3909">
        <f>3937.4277883114*(3/4)</f>
        <v>2953.0708412335525</v>
      </c>
    </row>
    <row r="3910" spans="1:2" x14ac:dyDescent="0.3">
      <c r="A3910" s="2">
        <v>45820.833333333343</v>
      </c>
      <c r="B3910">
        <f>4477.72783209181*(3/4)</f>
        <v>3358.29587406886</v>
      </c>
    </row>
    <row r="3911" spans="1:2" x14ac:dyDescent="0.3">
      <c r="A3911" s="2">
        <v>45820.875</v>
      </c>
      <c r="B3911">
        <f>4421.98428609326*(3/4)</f>
        <v>3316.488214569943</v>
      </c>
    </row>
    <row r="3912" spans="1:2" x14ac:dyDescent="0.3">
      <c r="A3912" s="2">
        <v>45820.916666666657</v>
      </c>
      <c r="B3912">
        <f>3962.34824331399*(3/4)</f>
        <v>2971.7611824854912</v>
      </c>
    </row>
    <row r="3913" spans="1:2" x14ac:dyDescent="0.3">
      <c r="A3913" s="2">
        <v>45820.958333333343</v>
      </c>
      <c r="B3913">
        <f>4024.08015863951*(3/4)</f>
        <v>3018.0601189796289</v>
      </c>
    </row>
    <row r="3914" spans="1:2" x14ac:dyDescent="0.3">
      <c r="A3914" s="2">
        <v>45821</v>
      </c>
      <c r="B3914">
        <f>4117.67003642075*(3/4)</f>
        <v>3088.2525273155638</v>
      </c>
    </row>
    <row r="3915" spans="1:2" x14ac:dyDescent="0.3">
      <c r="A3915" s="2">
        <v>45821.041666666657</v>
      </c>
      <c r="B3915">
        <f>4092.07868747663*(3/4)</f>
        <v>3069.0590156074695</v>
      </c>
    </row>
    <row r="3916" spans="1:2" x14ac:dyDescent="0.3">
      <c r="A3916" s="2">
        <v>45821.083333333343</v>
      </c>
      <c r="B3916">
        <f>4256.75216120656*(3/4)</f>
        <v>3192.5641209049195</v>
      </c>
    </row>
    <row r="3917" spans="1:2" x14ac:dyDescent="0.3">
      <c r="A3917" s="2">
        <v>45821.125</v>
      </c>
      <c r="B3917">
        <f>4020.64236280119*(3/4)</f>
        <v>3015.4817721008912</v>
      </c>
    </row>
    <row r="3918" spans="1:2" x14ac:dyDescent="0.3">
      <c r="A3918" s="2">
        <v>45821.166666666657</v>
      </c>
      <c r="B3918">
        <f>4512.21900108236*(3/4)</f>
        <v>3384.1642508117729</v>
      </c>
    </row>
    <row r="3919" spans="1:2" x14ac:dyDescent="0.3">
      <c r="A3919" s="2">
        <v>45821.208333333343</v>
      </c>
      <c r="B3919">
        <f>4301.03800720267*(3/4)</f>
        <v>3225.778505402006</v>
      </c>
    </row>
    <row r="3920" spans="1:2" x14ac:dyDescent="0.3">
      <c r="A3920" s="2">
        <v>45821.25</v>
      </c>
      <c r="B3920">
        <f>4113.14748638965*(3/4)</f>
        <v>3084.8606147922342</v>
      </c>
    </row>
    <row r="3921" spans="1:2" x14ac:dyDescent="0.3">
      <c r="A3921" s="2">
        <v>45821.291666666657</v>
      </c>
      <c r="B3921">
        <f>4276.94373705626*(3/4)</f>
        <v>3207.7078027921957</v>
      </c>
    </row>
    <row r="3922" spans="1:2" x14ac:dyDescent="0.3">
      <c r="A3922" s="2">
        <v>45821.333333333343</v>
      </c>
      <c r="B3922">
        <f>4225.51664433575*(3/4)</f>
        <v>3169.13748325181</v>
      </c>
    </row>
    <row r="3923" spans="1:2" x14ac:dyDescent="0.3">
      <c r="A3923" s="2">
        <v>45821.375</v>
      </c>
      <c r="B3923">
        <f>4505.00083679576*(3/4)</f>
        <v>3378.750627596819</v>
      </c>
    </row>
    <row r="3924" spans="1:2" x14ac:dyDescent="0.3">
      <c r="A3924" s="2">
        <v>45821.416666666657</v>
      </c>
      <c r="B3924">
        <f>4283.04416197478*(3/4)</f>
        <v>3212.2831214810849</v>
      </c>
    </row>
    <row r="3925" spans="1:2" x14ac:dyDescent="0.3">
      <c r="A3925" s="2">
        <v>45821.458333333343</v>
      </c>
      <c r="B3925">
        <f>4344.30886010573*(3/4)</f>
        <v>3258.2316450792946</v>
      </c>
    </row>
    <row r="3926" spans="1:2" x14ac:dyDescent="0.3">
      <c r="A3926" s="2">
        <v>45821.5</v>
      </c>
      <c r="B3926">
        <f>4227.36194917372*(3/4)</f>
        <v>3170.5214618802929</v>
      </c>
    </row>
    <row r="3927" spans="1:2" x14ac:dyDescent="0.3">
      <c r="A3927" s="2">
        <v>45821.541666666657</v>
      </c>
      <c r="B3927">
        <f>4238.09310127276*(3/4)</f>
        <v>3178.5698259545725</v>
      </c>
    </row>
    <row r="3928" spans="1:2" x14ac:dyDescent="0.3">
      <c r="A3928" s="2">
        <v>45821.583333333343</v>
      </c>
      <c r="B3928">
        <f>4086.45908425613*(3/4)</f>
        <v>3064.8443131921003</v>
      </c>
    </row>
    <row r="3929" spans="1:2" x14ac:dyDescent="0.3">
      <c r="A3929" s="2">
        <v>45821.625</v>
      </c>
      <c r="B3929">
        <f>4110.5650169251*(3/4)</f>
        <v>3082.9237626938229</v>
      </c>
    </row>
    <row r="3930" spans="1:2" x14ac:dyDescent="0.3">
      <c r="A3930" s="2">
        <v>45821.666666666657</v>
      </c>
      <c r="B3930">
        <f>4119.91312384462*(3/4)</f>
        <v>3089.9348428834683</v>
      </c>
    </row>
    <row r="3931" spans="1:2" x14ac:dyDescent="0.3">
      <c r="A3931" s="2">
        <v>45821.708333333343</v>
      </c>
      <c r="B3931">
        <f>4022.39379055669*(3/4)</f>
        <v>3016.7953429175182</v>
      </c>
    </row>
    <row r="3932" spans="1:2" x14ac:dyDescent="0.3">
      <c r="A3932" s="2">
        <v>45821.75</v>
      </c>
      <c r="B3932">
        <f>4332.9849058138*(3/4)</f>
        <v>3249.7386793603505</v>
      </c>
    </row>
    <row r="3933" spans="1:2" x14ac:dyDescent="0.3">
      <c r="A3933" s="2">
        <v>45821.791666666657</v>
      </c>
      <c r="B3933">
        <f>3703.72687279763*(3/4)</f>
        <v>2777.7951545982196</v>
      </c>
    </row>
    <row r="3934" spans="1:2" x14ac:dyDescent="0.3">
      <c r="A3934" s="2">
        <v>45821.833333333343</v>
      </c>
      <c r="B3934">
        <f>4002.31293813811*(3/4)</f>
        <v>3001.7347036035849</v>
      </c>
    </row>
    <row r="3935" spans="1:2" x14ac:dyDescent="0.3">
      <c r="A3935" s="2">
        <v>45821.875</v>
      </c>
      <c r="B3935">
        <f>4196.79529567869*(3/4)</f>
        <v>3147.5964717590214</v>
      </c>
    </row>
    <row r="3936" spans="1:2" x14ac:dyDescent="0.3">
      <c r="A3936" s="2">
        <v>45821.916666666657</v>
      </c>
      <c r="B3936">
        <f>3906.06957797199*(3/4)</f>
        <v>2929.5521834789961</v>
      </c>
    </row>
    <row r="3937" spans="1:2" x14ac:dyDescent="0.3">
      <c r="A3937" s="2">
        <v>45821.958333333343</v>
      </c>
      <c r="B3937">
        <f>4095.75153745215*(3/4)</f>
        <v>3071.8136530891156</v>
      </c>
    </row>
    <row r="3938" spans="1:2" x14ac:dyDescent="0.3">
      <c r="A3938" s="2">
        <v>45822</v>
      </c>
      <c r="B3938">
        <f>4610.28041299589*(3/4)</f>
        <v>3457.7103097469185</v>
      </c>
    </row>
    <row r="3939" spans="1:2" x14ac:dyDescent="0.3">
      <c r="A3939" s="2">
        <v>45822.041666666657</v>
      </c>
      <c r="B3939">
        <f>3966.53391913897*(3/4)</f>
        <v>2974.9004393542309</v>
      </c>
    </row>
    <row r="3940" spans="1:2" x14ac:dyDescent="0.3">
      <c r="A3940" s="2">
        <v>45822.083333333343</v>
      </c>
      <c r="B3940">
        <f>4066.17533070417*(3/4)</f>
        <v>3049.6314980281281</v>
      </c>
    </row>
    <row r="3941" spans="1:2" x14ac:dyDescent="0.3">
      <c r="A3941" s="2">
        <v>45822.125</v>
      </c>
      <c r="B3941">
        <f>3973.48864819041*(3/4)</f>
        <v>2980.1164861428042</v>
      </c>
    </row>
    <row r="3942" spans="1:2" x14ac:dyDescent="0.3">
      <c r="A3942" s="2">
        <v>45822.166666666657</v>
      </c>
      <c r="B3942">
        <f>4207.75389968042*(3/4)</f>
        <v>3155.8154247603125</v>
      </c>
    </row>
    <row r="3943" spans="1:2" x14ac:dyDescent="0.3">
      <c r="A3943" s="2">
        <v>45822.208333333343</v>
      </c>
      <c r="B3943">
        <f>4128.75628776433*(3/4)</f>
        <v>3096.5672158232501</v>
      </c>
    </row>
    <row r="3944" spans="1:2" x14ac:dyDescent="0.3">
      <c r="A3944" s="2">
        <v>45822.25</v>
      </c>
      <c r="B3944">
        <f>3973.51451102066*(3/4)</f>
        <v>2980.1358832654951</v>
      </c>
    </row>
    <row r="3945" spans="1:2" x14ac:dyDescent="0.3">
      <c r="A3945" s="2">
        <v>45822.291666666657</v>
      </c>
      <c r="B3945">
        <f>4155.87073830374*(3/4)</f>
        <v>3116.9030537278077</v>
      </c>
    </row>
    <row r="3946" spans="1:2" x14ac:dyDescent="0.3">
      <c r="A3946" s="2">
        <v>45822.333333333343</v>
      </c>
      <c r="B3946">
        <f>4170.52946863079*(3/4)</f>
        <v>3127.897101473096</v>
      </c>
    </row>
    <row r="3947" spans="1:2" x14ac:dyDescent="0.3">
      <c r="A3947" s="2">
        <v>45822.375</v>
      </c>
      <c r="B3947">
        <f>4232.91038878883*(3/4)</f>
        <v>3174.6827915916219</v>
      </c>
    </row>
    <row r="3948" spans="1:2" x14ac:dyDescent="0.3">
      <c r="A3948" s="2">
        <v>45822.416666666657</v>
      </c>
      <c r="B3948">
        <f>4289.55454190331*(3/4)</f>
        <v>3217.16590642748</v>
      </c>
    </row>
    <row r="3949" spans="1:2" x14ac:dyDescent="0.3">
      <c r="A3949" s="2">
        <v>45822.458333333343</v>
      </c>
      <c r="B3949">
        <f>4471.36533361968*(3/4)</f>
        <v>3353.524000214763</v>
      </c>
    </row>
    <row r="3950" spans="1:2" x14ac:dyDescent="0.3">
      <c r="A3950" s="2">
        <v>45822.5</v>
      </c>
      <c r="B3950">
        <f>4393.09216494376*(3/4)</f>
        <v>3294.8191237078177</v>
      </c>
    </row>
    <row r="3951" spans="1:2" x14ac:dyDescent="0.3">
      <c r="A3951" s="2">
        <v>45822.541666666657</v>
      </c>
      <c r="B3951">
        <f>4123.04971442661*(3/4)</f>
        <v>3092.287285819958</v>
      </c>
    </row>
    <row r="3952" spans="1:2" x14ac:dyDescent="0.3">
      <c r="A3952" s="2">
        <v>45822.583333333343</v>
      </c>
      <c r="B3952">
        <f>3981.95701850956*(3/4)</f>
        <v>2986.4677638821704</v>
      </c>
    </row>
    <row r="3953" spans="1:2" x14ac:dyDescent="0.3">
      <c r="A3953" s="2">
        <v>45822.625</v>
      </c>
      <c r="B3953">
        <f>4471.81650406997*(3/4)</f>
        <v>3353.8623780524767</v>
      </c>
    </row>
    <row r="3954" spans="1:2" x14ac:dyDescent="0.3">
      <c r="A3954" s="2">
        <v>45822.666666666657</v>
      </c>
      <c r="B3954">
        <f>4538.62005144282*(3/4)</f>
        <v>3403.9650385821142</v>
      </c>
    </row>
    <row r="3955" spans="1:2" x14ac:dyDescent="0.3">
      <c r="A3955" s="2">
        <v>45822.708333333343</v>
      </c>
      <c r="B3955">
        <f>4281.40541884063*(3/4)</f>
        <v>3211.054064130476</v>
      </c>
    </row>
    <row r="3956" spans="1:2" x14ac:dyDescent="0.3">
      <c r="A3956" s="2">
        <v>45822.75</v>
      </c>
      <c r="B3956">
        <f>4005.29097784608*(3/4)</f>
        <v>3003.9682333845635</v>
      </c>
    </row>
    <row r="3957" spans="1:2" x14ac:dyDescent="0.3">
      <c r="A3957" s="2">
        <v>45822.791666666657</v>
      </c>
      <c r="B3957">
        <f>4138.14816940708*(3/4)</f>
        <v>3103.6111270553065</v>
      </c>
    </row>
    <row r="3958" spans="1:2" x14ac:dyDescent="0.3">
      <c r="A3958" s="2">
        <v>45822.833333333343</v>
      </c>
      <c r="B3958">
        <f>4407.4043628146*(3/4)</f>
        <v>3305.553272110953</v>
      </c>
    </row>
    <row r="3959" spans="1:2" x14ac:dyDescent="0.3">
      <c r="A3959" s="2">
        <v>45822.875</v>
      </c>
      <c r="B3959">
        <f>4128.17666548866*(3/4)</f>
        <v>3096.1324991164965</v>
      </c>
    </row>
    <row r="3960" spans="1:2" x14ac:dyDescent="0.3">
      <c r="A3960" s="2">
        <v>45822.916666666657</v>
      </c>
      <c r="B3960">
        <f>3956.49692186612*(3/4)</f>
        <v>2967.3726913995929</v>
      </c>
    </row>
    <row r="3961" spans="1:2" x14ac:dyDescent="0.3">
      <c r="A3961" s="2">
        <v>45822.958333333343</v>
      </c>
      <c r="B3961">
        <f>3886.69907308595*(3/4)</f>
        <v>2915.0243048144639</v>
      </c>
    </row>
    <row r="3962" spans="1:2" x14ac:dyDescent="0.3">
      <c r="A3962" s="2">
        <v>45823</v>
      </c>
      <c r="B3962">
        <f>4240.87957297146*(3/4)</f>
        <v>3180.6596797285952</v>
      </c>
    </row>
    <row r="3963" spans="1:2" x14ac:dyDescent="0.3">
      <c r="A3963" s="2">
        <v>45823.041666666657</v>
      </c>
      <c r="B3963">
        <f>3847.54472302413*(3/4)</f>
        <v>2885.658542268101</v>
      </c>
    </row>
    <row r="3964" spans="1:2" x14ac:dyDescent="0.3">
      <c r="A3964" s="2">
        <v>45823.083333333343</v>
      </c>
      <c r="B3964">
        <f>4228.04906710776*(3/4)</f>
        <v>3171.0368003308195</v>
      </c>
    </row>
    <row r="3965" spans="1:2" x14ac:dyDescent="0.3">
      <c r="A3965" s="2">
        <v>45823.125</v>
      </c>
      <c r="B3965">
        <f>4154.88839819444*(3/4)</f>
        <v>3116.16629864583</v>
      </c>
    </row>
    <row r="3966" spans="1:2" x14ac:dyDescent="0.3">
      <c r="A3966" s="2">
        <v>45823.166666666657</v>
      </c>
      <c r="B3966">
        <f>3140.24036667891*(3/4)</f>
        <v>2355.1802750091847</v>
      </c>
    </row>
    <row r="3967" spans="1:2" x14ac:dyDescent="0.3">
      <c r="A3967" s="2">
        <v>45823.208333333343</v>
      </c>
      <c r="B3967">
        <f>3976.48954608047*(3/4)</f>
        <v>2982.367159560351</v>
      </c>
    </row>
    <row r="3968" spans="1:2" x14ac:dyDescent="0.3">
      <c r="A3968" s="2">
        <v>45823.25</v>
      </c>
      <c r="B3968">
        <f>3883.26898974141*(3/4)</f>
        <v>2912.4517423060583</v>
      </c>
    </row>
    <row r="3969" spans="1:2" x14ac:dyDescent="0.3">
      <c r="A3969" s="2">
        <v>45823.291666666657</v>
      </c>
      <c r="B3969">
        <f>4286.30891710523*(3/4)</f>
        <v>3214.7316878289216</v>
      </c>
    </row>
    <row r="3970" spans="1:2" x14ac:dyDescent="0.3">
      <c r="A3970" s="2">
        <v>45823.333333333343</v>
      </c>
      <c r="B3970">
        <f>3514.95877053051*(3/4)</f>
        <v>2636.2190778978834</v>
      </c>
    </row>
    <row r="3971" spans="1:2" x14ac:dyDescent="0.3">
      <c r="A3971" s="2">
        <v>45823.375</v>
      </c>
      <c r="B3971">
        <f>3035.09055875379*(3/4)</f>
        <v>2276.3179190653454</v>
      </c>
    </row>
    <row r="3972" spans="1:2" x14ac:dyDescent="0.3">
      <c r="A3972" s="2">
        <v>45823.416666666657</v>
      </c>
      <c r="B3972">
        <f>3370.94900118828*(3/4)</f>
        <v>2528.2117508912092</v>
      </c>
    </row>
    <row r="3973" spans="1:2" x14ac:dyDescent="0.3">
      <c r="A3973" s="2">
        <v>45823.458333333343</v>
      </c>
      <c r="B3973">
        <f>3059.95727791517*(3/4)</f>
        <v>2294.9679584363762</v>
      </c>
    </row>
    <row r="3974" spans="1:2" x14ac:dyDescent="0.3">
      <c r="A3974" s="2">
        <v>45823.5</v>
      </c>
      <c r="B3974">
        <f>3474.78810324534*(3/4)</f>
        <v>2606.0910774340073</v>
      </c>
    </row>
    <row r="3975" spans="1:2" x14ac:dyDescent="0.3">
      <c r="A3975" s="2">
        <v>45823.541666666657</v>
      </c>
      <c r="B3975">
        <f>3292.99262683848*(3/4)</f>
        <v>2469.7444701288609</v>
      </c>
    </row>
    <row r="3976" spans="1:2" x14ac:dyDescent="0.3">
      <c r="A3976" s="2">
        <v>45823.583333333343</v>
      </c>
      <c r="B3976">
        <f>3234.78934882897*(3/4)</f>
        <v>2426.0920116217276</v>
      </c>
    </row>
    <row r="3977" spans="1:2" x14ac:dyDescent="0.3">
      <c r="A3977" s="2">
        <v>45823.625</v>
      </c>
      <c r="B3977">
        <f>3612.57641224947*(3/4)</f>
        <v>2709.4323091871047</v>
      </c>
    </row>
    <row r="3978" spans="1:2" x14ac:dyDescent="0.3">
      <c r="A3978" s="2">
        <v>45823.666666666657</v>
      </c>
      <c r="B3978">
        <f>3509.73614214641*(3/4)</f>
        <v>2632.3021066098054</v>
      </c>
    </row>
    <row r="3979" spans="1:2" x14ac:dyDescent="0.3">
      <c r="A3979" s="2">
        <v>45823.708333333343</v>
      </c>
      <c r="B3979">
        <f>3922.54030301181*(3/4)</f>
        <v>2941.905227258856</v>
      </c>
    </row>
    <row r="3980" spans="1:2" x14ac:dyDescent="0.3">
      <c r="A3980" s="2">
        <v>45823.75</v>
      </c>
      <c r="B3980">
        <f>4228.493254466*(3/4)</f>
        <v>3171.3699408495017</v>
      </c>
    </row>
    <row r="3981" spans="1:2" x14ac:dyDescent="0.3">
      <c r="A3981" s="2">
        <v>45823.791666666657</v>
      </c>
      <c r="B3981">
        <f>4386.0514104908*(3/4)</f>
        <v>3289.5385578680998</v>
      </c>
    </row>
    <row r="3982" spans="1:2" x14ac:dyDescent="0.3">
      <c r="A3982" s="2">
        <v>45823.833333333343</v>
      </c>
      <c r="B3982">
        <f>3935.88271255276*(3/4)</f>
        <v>2951.9120344145699</v>
      </c>
    </row>
    <row r="3983" spans="1:2" x14ac:dyDescent="0.3">
      <c r="A3983" s="2">
        <v>45823.875</v>
      </c>
      <c r="B3983">
        <f>4044.47632043165*(3/4)</f>
        <v>3033.3572403237363</v>
      </c>
    </row>
    <row r="3984" spans="1:2" x14ac:dyDescent="0.3">
      <c r="A3984" s="2">
        <v>45823.916666666657</v>
      </c>
      <c r="B3984">
        <f>3978.58739030807*(3/4)</f>
        <v>2983.9405427310489</v>
      </c>
    </row>
    <row r="3985" spans="1:2" x14ac:dyDescent="0.3">
      <c r="A3985" s="2">
        <v>45823.958333333343</v>
      </c>
      <c r="B3985">
        <f>3823.17154395698*(3/4)</f>
        <v>2867.3786579677349</v>
      </c>
    </row>
    <row r="3986" spans="1:2" x14ac:dyDescent="0.3">
      <c r="A3986" s="2">
        <v>45824</v>
      </c>
      <c r="B3986">
        <f>4421.79359865901*(3/4)</f>
        <v>3316.3451989942569</v>
      </c>
    </row>
    <row r="3987" spans="1:2" x14ac:dyDescent="0.3">
      <c r="A3987" s="2">
        <v>45824.041666666657</v>
      </c>
      <c r="B3987">
        <f>3917.12191342815*(3/4)</f>
        <v>2937.8414350711155</v>
      </c>
    </row>
    <row r="3988" spans="1:2" x14ac:dyDescent="0.3">
      <c r="A3988" s="2">
        <v>45824.083333333343</v>
      </c>
      <c r="B3988">
        <f>4351.99137627093*(3/4)</f>
        <v>3263.993532203197</v>
      </c>
    </row>
    <row r="3989" spans="1:2" x14ac:dyDescent="0.3">
      <c r="A3989" s="2">
        <v>45824.125</v>
      </c>
      <c r="B3989">
        <f>4181.67537456087*(3/4)</f>
        <v>3136.2565309206557</v>
      </c>
    </row>
    <row r="3990" spans="1:2" x14ac:dyDescent="0.3">
      <c r="A3990" s="2">
        <v>45824.166666666657</v>
      </c>
      <c r="B3990">
        <f>4476.74266426493*(3/4)</f>
        <v>3357.5569981986955</v>
      </c>
    </row>
    <row r="3991" spans="1:2" x14ac:dyDescent="0.3">
      <c r="A3991" s="2">
        <v>45824.208333333343</v>
      </c>
      <c r="B3991">
        <f>3922.91045094135*(3/4)</f>
        <v>2942.1828382060157</v>
      </c>
    </row>
    <row r="3992" spans="1:2" x14ac:dyDescent="0.3">
      <c r="A3992" s="2">
        <v>45824.25</v>
      </c>
      <c r="B3992">
        <f>3908.76853656167*(3/4)</f>
        <v>2931.5764024212549</v>
      </c>
    </row>
    <row r="3993" spans="1:2" x14ac:dyDescent="0.3">
      <c r="A3993" s="2">
        <v>45824.291666666657</v>
      </c>
      <c r="B3993">
        <f>4300.66456142636*(3/4)</f>
        <v>3225.4984210697694</v>
      </c>
    </row>
    <row r="3994" spans="1:2" x14ac:dyDescent="0.3">
      <c r="A3994" s="2">
        <v>45824.333333333343</v>
      </c>
      <c r="B3994">
        <f>4488.84377342769*(3/4)</f>
        <v>3366.6328300707664</v>
      </c>
    </row>
    <row r="3995" spans="1:2" x14ac:dyDescent="0.3">
      <c r="A3995" s="2">
        <v>45824.375</v>
      </c>
      <c r="B3995">
        <f>4215.48440968415*(3/4)</f>
        <v>3161.6133072631151</v>
      </c>
    </row>
    <row r="3996" spans="1:2" x14ac:dyDescent="0.3">
      <c r="A3996" s="2">
        <v>45824.416666666657</v>
      </c>
      <c r="B3996">
        <f>4289.79989307074*(3/4)</f>
        <v>3217.3499198030559</v>
      </c>
    </row>
    <row r="3997" spans="1:2" x14ac:dyDescent="0.3">
      <c r="A3997" s="2">
        <v>45824.458333333343</v>
      </c>
      <c r="B3997">
        <f>4118.88529191551*(3/4)</f>
        <v>3089.163968936632</v>
      </c>
    </row>
    <row r="3998" spans="1:2" x14ac:dyDescent="0.3">
      <c r="A3998" s="2">
        <v>45824.5</v>
      </c>
      <c r="B3998">
        <f>4603.41700205521*(3/4)</f>
        <v>3452.562751541408</v>
      </c>
    </row>
    <row r="3999" spans="1:2" x14ac:dyDescent="0.3">
      <c r="A3999" s="2">
        <v>45824.541666666657</v>
      </c>
      <c r="B3999">
        <f>4045.43078103188*(3/4)</f>
        <v>3034.0730857739072</v>
      </c>
    </row>
    <row r="4000" spans="1:2" x14ac:dyDescent="0.3">
      <c r="A4000" s="2">
        <v>45824.583333333343</v>
      </c>
      <c r="B4000">
        <f>4165.18646538334*(3/4)</f>
        <v>3123.8898490375032</v>
      </c>
    </row>
    <row r="4001" spans="1:2" x14ac:dyDescent="0.3">
      <c r="A4001" s="2">
        <v>45824.625</v>
      </c>
      <c r="B4001">
        <f>4199.5324792583*(3/4)</f>
        <v>3149.6493594437275</v>
      </c>
    </row>
    <row r="4002" spans="1:2" x14ac:dyDescent="0.3">
      <c r="A4002" s="2">
        <v>45824.666666666657</v>
      </c>
      <c r="B4002">
        <f>4211.15414734073*(3/4)</f>
        <v>3158.3656105055506</v>
      </c>
    </row>
    <row r="4003" spans="1:2" x14ac:dyDescent="0.3">
      <c r="A4003" s="2">
        <v>45824.708333333343</v>
      </c>
      <c r="B4003">
        <f>4437.4066527828*(3/4)</f>
        <v>3328.0549895871018</v>
      </c>
    </row>
    <row r="4004" spans="1:2" x14ac:dyDescent="0.3">
      <c r="A4004" s="2">
        <v>45824.75</v>
      </c>
      <c r="B4004">
        <f>4205.65365516435*(3/4)</f>
        <v>3154.2402413732648</v>
      </c>
    </row>
    <row r="4005" spans="1:2" x14ac:dyDescent="0.3">
      <c r="A4005" s="2">
        <v>45824.791666666657</v>
      </c>
      <c r="B4005">
        <f>4288.98260767748*(3/4)</f>
        <v>3216.7369557581123</v>
      </c>
    </row>
    <row r="4006" spans="1:2" x14ac:dyDescent="0.3">
      <c r="A4006" s="2">
        <v>45824.833333333343</v>
      </c>
      <c r="B4006">
        <f>4290.52106737426*(3/4)</f>
        <v>3217.8908005306967</v>
      </c>
    </row>
    <row r="4007" spans="1:2" x14ac:dyDescent="0.3">
      <c r="A4007" s="2">
        <v>45824.875</v>
      </c>
      <c r="B4007">
        <f>4383.35685621762*(3/4)</f>
        <v>3287.5176421632182</v>
      </c>
    </row>
    <row r="4008" spans="1:2" x14ac:dyDescent="0.3">
      <c r="A4008" s="2">
        <v>45824.916666666657</v>
      </c>
      <c r="B4008">
        <f>3971.82453032266*(3/4)</f>
        <v>2978.8683977419978</v>
      </c>
    </row>
    <row r="4009" spans="1:2" x14ac:dyDescent="0.3">
      <c r="A4009" s="2">
        <v>45824.958333333343</v>
      </c>
      <c r="B4009">
        <f>4100.21544967382*(3/4)</f>
        <v>3075.1615872553684</v>
      </c>
    </row>
    <row r="4010" spans="1:2" x14ac:dyDescent="0.3">
      <c r="A4010" s="2">
        <v>45825</v>
      </c>
      <c r="B4010">
        <f>4084.07850860201*(3/4)</f>
        <v>3063.0588814515045</v>
      </c>
    </row>
    <row r="4011" spans="1:2" x14ac:dyDescent="0.3">
      <c r="A4011" s="2">
        <v>45825.041666666657</v>
      </c>
      <c r="B4011">
        <f>3999.91589671386*(3/4)</f>
        <v>2999.9369225353926</v>
      </c>
    </row>
    <row r="4012" spans="1:2" x14ac:dyDescent="0.3">
      <c r="A4012" s="2">
        <v>45825.083333333343</v>
      </c>
      <c r="B4012">
        <f>3961.68339787895*(3/4)</f>
        <v>2971.2625484092096</v>
      </c>
    </row>
    <row r="4013" spans="1:2" x14ac:dyDescent="0.3">
      <c r="A4013" s="2">
        <v>45825.125</v>
      </c>
      <c r="B4013">
        <f>4220.27208024936*(3/4)</f>
        <v>3165.2040601870203</v>
      </c>
    </row>
    <row r="4014" spans="1:2" x14ac:dyDescent="0.3">
      <c r="A4014" s="2">
        <v>45825.166666666657</v>
      </c>
      <c r="B4014">
        <f>4534.67917208272*(3/4)</f>
        <v>3401.0093790620367</v>
      </c>
    </row>
    <row r="4015" spans="1:2" x14ac:dyDescent="0.3">
      <c r="A4015" s="2">
        <v>45825.208333333343</v>
      </c>
      <c r="B4015">
        <f>3885.6313753672*(3/4)</f>
        <v>2914.2235315253993</v>
      </c>
    </row>
    <row r="4016" spans="1:2" x14ac:dyDescent="0.3">
      <c r="A4016" s="2">
        <v>45825.25</v>
      </c>
      <c r="B4016">
        <f>3878.99100555539*(3/4)</f>
        <v>2909.2432541665407</v>
      </c>
    </row>
    <row r="4017" spans="1:2" x14ac:dyDescent="0.3">
      <c r="A4017" s="2">
        <v>45825.291666666657</v>
      </c>
      <c r="B4017">
        <f>4377.69875239206*(3/4)</f>
        <v>3283.2740642940448</v>
      </c>
    </row>
    <row r="4018" spans="1:2" x14ac:dyDescent="0.3">
      <c r="A4018" s="2">
        <v>45825.333333333343</v>
      </c>
      <c r="B4018">
        <f>4204.64228221815*(3/4)</f>
        <v>3153.4817116636104</v>
      </c>
    </row>
    <row r="4019" spans="1:2" x14ac:dyDescent="0.3">
      <c r="A4019" s="2">
        <v>45825.375</v>
      </c>
      <c r="B4019">
        <f>4002.5597837805*(3/4)</f>
        <v>3001.9198378353722</v>
      </c>
    </row>
    <row r="4020" spans="1:2" x14ac:dyDescent="0.3">
      <c r="A4020" s="2">
        <v>45825.416666666657</v>
      </c>
      <c r="B4020">
        <f>4325.00318053332*(3/4)</f>
        <v>3243.7523853999915</v>
      </c>
    </row>
    <row r="4021" spans="1:2" x14ac:dyDescent="0.3">
      <c r="A4021" s="2">
        <v>45825.458333333343</v>
      </c>
      <c r="B4021">
        <f>4397.71611798333*(3/4)</f>
        <v>3298.2870884874965</v>
      </c>
    </row>
    <row r="4022" spans="1:2" x14ac:dyDescent="0.3">
      <c r="A4022" s="2">
        <v>45825.5</v>
      </c>
      <c r="B4022">
        <f>4351.41701544388*(3/4)</f>
        <v>3263.5627615829062</v>
      </c>
    </row>
    <row r="4023" spans="1:2" x14ac:dyDescent="0.3">
      <c r="A4023" s="2">
        <v>45825.541666666657</v>
      </c>
      <c r="B4023">
        <f>4140.02597899266*(3/4)</f>
        <v>3105.0194842444935</v>
      </c>
    </row>
    <row r="4024" spans="1:2" x14ac:dyDescent="0.3">
      <c r="A4024" s="2">
        <v>45825.583333333343</v>
      </c>
      <c r="B4024">
        <f>3875.13302974714*(3/4)</f>
        <v>2906.3497723103519</v>
      </c>
    </row>
    <row r="4025" spans="1:2" x14ac:dyDescent="0.3">
      <c r="A4025" s="2">
        <v>45825.625</v>
      </c>
      <c r="B4025">
        <f>4265.57041142596*(3/4)</f>
        <v>3199.1778085694723</v>
      </c>
    </row>
    <row r="4026" spans="1:2" x14ac:dyDescent="0.3">
      <c r="A4026" s="2">
        <v>45825.666666666657</v>
      </c>
      <c r="B4026">
        <f>4285.67938010922*(3/4)</f>
        <v>3214.2595350819115</v>
      </c>
    </row>
    <row r="4027" spans="1:2" x14ac:dyDescent="0.3">
      <c r="A4027" s="2">
        <v>45825.708333333343</v>
      </c>
      <c r="B4027">
        <f>4128.98230092749*(3/4)</f>
        <v>3096.7367256956186</v>
      </c>
    </row>
    <row r="4028" spans="1:2" x14ac:dyDescent="0.3">
      <c r="A4028" s="2">
        <v>45825.75</v>
      </c>
      <c r="B4028">
        <f>4505.60832111942*(3/4)</f>
        <v>3379.206240839565</v>
      </c>
    </row>
    <row r="4029" spans="1:2" x14ac:dyDescent="0.3">
      <c r="A4029" s="2">
        <v>45825.791666666657</v>
      </c>
      <c r="B4029">
        <f>4361.48063046953*(3/4)</f>
        <v>3271.1104728521505</v>
      </c>
    </row>
    <row r="4030" spans="1:2" x14ac:dyDescent="0.3">
      <c r="A4030" s="2">
        <v>45825.833333333343</v>
      </c>
      <c r="B4030">
        <f>4698.15437200766*(3/4)</f>
        <v>3523.615779005745</v>
      </c>
    </row>
    <row r="4031" spans="1:2" x14ac:dyDescent="0.3">
      <c r="A4031" s="2">
        <v>45825.875</v>
      </c>
      <c r="B4031">
        <f>4252.17124588002*(3/4)</f>
        <v>3189.1284344100177</v>
      </c>
    </row>
    <row r="4032" spans="1:2" x14ac:dyDescent="0.3">
      <c r="A4032" s="2">
        <v>45825.916666666657</v>
      </c>
      <c r="B4032">
        <f>4139.56750569869*(3/4)</f>
        <v>3104.6756292740165</v>
      </c>
    </row>
    <row r="4033" spans="1:2" x14ac:dyDescent="0.3">
      <c r="A4033" s="2">
        <v>45825.958333333343</v>
      </c>
      <c r="B4033">
        <f>4266.89201945593*(3/4)</f>
        <v>3200.1690145919447</v>
      </c>
    </row>
    <row r="4034" spans="1:2" x14ac:dyDescent="0.3">
      <c r="A4034" s="2">
        <v>45826</v>
      </c>
      <c r="B4034">
        <f>4176.25124090053*(3/4)</f>
        <v>3132.1884306753955</v>
      </c>
    </row>
    <row r="4035" spans="1:2" x14ac:dyDescent="0.3">
      <c r="A4035" s="2">
        <v>45826.041666666657</v>
      </c>
      <c r="B4035">
        <f>4063.99734687321*(3/4)</f>
        <v>3047.9980101549054</v>
      </c>
    </row>
    <row r="4036" spans="1:2" x14ac:dyDescent="0.3">
      <c r="A4036" s="2">
        <v>45826.083333333343</v>
      </c>
      <c r="B4036">
        <f>3930.75113301027*(3/4)</f>
        <v>2948.0633497577019</v>
      </c>
    </row>
    <row r="4037" spans="1:2" x14ac:dyDescent="0.3">
      <c r="A4037" s="2">
        <v>45826.125</v>
      </c>
      <c r="B4037">
        <f>4066.31650958456*(3/4)</f>
        <v>3049.7373821884216</v>
      </c>
    </row>
    <row r="4038" spans="1:2" x14ac:dyDescent="0.3">
      <c r="A4038" s="2">
        <v>45826.166666666657</v>
      </c>
      <c r="B4038">
        <f>4580.21708567495*(3/4)</f>
        <v>3435.1628142562095</v>
      </c>
    </row>
    <row r="4039" spans="1:2" x14ac:dyDescent="0.3">
      <c r="A4039" s="2">
        <v>45826.208333333343</v>
      </c>
      <c r="B4039">
        <f>4071.92518501441*(3/4)</f>
        <v>3053.9438887608108</v>
      </c>
    </row>
    <row r="4040" spans="1:2" x14ac:dyDescent="0.3">
      <c r="A4040" s="2">
        <v>45826.25</v>
      </c>
      <c r="B4040">
        <f>3881.16578353328*(3/4)</f>
        <v>2910.8743376499569</v>
      </c>
    </row>
    <row r="4041" spans="1:2" x14ac:dyDescent="0.3">
      <c r="A4041" s="2">
        <v>45826.291666666657</v>
      </c>
      <c r="B4041">
        <f>4259.66056633942*(3/4)</f>
        <v>3194.7454247545638</v>
      </c>
    </row>
    <row r="4042" spans="1:2" x14ac:dyDescent="0.3">
      <c r="A4042" s="2">
        <v>45826.333333333343</v>
      </c>
      <c r="B4042">
        <f>3945.59683262817*(3/4)</f>
        <v>2959.1976244711245</v>
      </c>
    </row>
    <row r="4043" spans="1:2" x14ac:dyDescent="0.3">
      <c r="A4043" s="2">
        <v>45826.375</v>
      </c>
      <c r="B4043">
        <f>4394.15260087976*(3/4)</f>
        <v>3295.6144506598202</v>
      </c>
    </row>
    <row r="4044" spans="1:2" x14ac:dyDescent="0.3">
      <c r="A4044" s="2">
        <v>45826.416666666657</v>
      </c>
      <c r="B4044">
        <f>4266.8737010604*(3/4)</f>
        <v>3200.1552757953</v>
      </c>
    </row>
    <row r="4045" spans="1:2" x14ac:dyDescent="0.3">
      <c r="A4045" s="2">
        <v>45826.458333333343</v>
      </c>
      <c r="B4045">
        <f>4288.1733630971*(3/4)</f>
        <v>3216.1300223228272</v>
      </c>
    </row>
    <row r="4046" spans="1:2" x14ac:dyDescent="0.3">
      <c r="A4046" s="2">
        <v>45826.5</v>
      </c>
      <c r="B4046">
        <f>4787.2080887504*(3/4)</f>
        <v>3590.4060665628012</v>
      </c>
    </row>
    <row r="4047" spans="1:2" x14ac:dyDescent="0.3">
      <c r="A4047" s="2">
        <v>45826.541666666657</v>
      </c>
      <c r="B4047">
        <f>4112.3198364573*(3/4)</f>
        <v>3084.2398773429768</v>
      </c>
    </row>
    <row r="4048" spans="1:2" x14ac:dyDescent="0.3">
      <c r="A4048" s="2">
        <v>45826.583333333343</v>
      </c>
      <c r="B4048">
        <f>3796.93973569697*(3/4)</f>
        <v>2847.7048017727261</v>
      </c>
    </row>
    <row r="4049" spans="1:2" x14ac:dyDescent="0.3">
      <c r="A4049" s="2">
        <v>45826.625</v>
      </c>
      <c r="B4049">
        <f>4530.65664342699*(3/4)</f>
        <v>3397.9924825702437</v>
      </c>
    </row>
    <row r="4050" spans="1:2" x14ac:dyDescent="0.3">
      <c r="A4050" s="2">
        <v>45826.666666666657</v>
      </c>
      <c r="B4050">
        <f>4050.50591000729*(3/4)</f>
        <v>3037.8794325054705</v>
      </c>
    </row>
    <row r="4051" spans="1:2" x14ac:dyDescent="0.3">
      <c r="A4051" s="2">
        <v>45826.708333333343</v>
      </c>
      <c r="B4051">
        <f>4108.85170713621*(3/4)</f>
        <v>3081.6387803521557</v>
      </c>
    </row>
    <row r="4052" spans="1:2" x14ac:dyDescent="0.3">
      <c r="A4052" s="2">
        <v>45826.75</v>
      </c>
      <c r="B4052">
        <f>4342.56143445329*(3/4)</f>
        <v>3256.921075839964</v>
      </c>
    </row>
    <row r="4053" spans="1:2" x14ac:dyDescent="0.3">
      <c r="A4053" s="2">
        <v>45826.791666666657</v>
      </c>
      <c r="B4053">
        <f>4312.54775160783*(3/4)</f>
        <v>3234.4108137058747</v>
      </c>
    </row>
    <row r="4054" spans="1:2" x14ac:dyDescent="0.3">
      <c r="A4054" s="2">
        <v>45826.833333333343</v>
      </c>
      <c r="B4054">
        <f>4280.40988149547*(3/4)</f>
        <v>3210.3074111215992</v>
      </c>
    </row>
    <row r="4055" spans="1:2" x14ac:dyDescent="0.3">
      <c r="A4055" s="2">
        <v>45826.875</v>
      </c>
      <c r="B4055">
        <f>4323.57669449425*(3/4)</f>
        <v>3242.682520870685</v>
      </c>
    </row>
    <row r="4056" spans="1:2" x14ac:dyDescent="0.3">
      <c r="A4056" s="2">
        <v>45826.916666666657</v>
      </c>
      <c r="B4056">
        <f>4027.94461154799*(3/4)</f>
        <v>3020.9584586609917</v>
      </c>
    </row>
    <row r="4057" spans="1:2" x14ac:dyDescent="0.3">
      <c r="A4057" s="2">
        <v>45826.958333333343</v>
      </c>
      <c r="B4057">
        <f>4020.38079072497*(3/4)</f>
        <v>3015.285593043729</v>
      </c>
    </row>
    <row r="4058" spans="1:2" x14ac:dyDescent="0.3">
      <c r="A4058" s="2">
        <v>45827</v>
      </c>
      <c r="B4058">
        <f>4008.62486386057*(3/4)</f>
        <v>3006.4686478954272</v>
      </c>
    </row>
    <row r="4059" spans="1:2" x14ac:dyDescent="0.3">
      <c r="A4059" s="2">
        <v>45827.041666666657</v>
      </c>
      <c r="B4059">
        <f>4048.39894980333*(3/4)</f>
        <v>3036.2992123524982</v>
      </c>
    </row>
    <row r="4060" spans="1:2" x14ac:dyDescent="0.3">
      <c r="A4060" s="2">
        <v>45827.083333333343</v>
      </c>
      <c r="B4060">
        <f>3963.68326259446*(3/4)</f>
        <v>2972.7624469458474</v>
      </c>
    </row>
    <row r="4061" spans="1:2" x14ac:dyDescent="0.3">
      <c r="A4061" s="2">
        <v>45827.125</v>
      </c>
      <c r="B4061">
        <f>3929.12653007085*(3/4)</f>
        <v>2946.8448975531396</v>
      </c>
    </row>
    <row r="4062" spans="1:2" x14ac:dyDescent="0.3">
      <c r="A4062" s="2">
        <v>45827.166666666657</v>
      </c>
      <c r="B4062">
        <f>4257.78934280463*(3/4)</f>
        <v>3193.3420071034707</v>
      </c>
    </row>
    <row r="4063" spans="1:2" x14ac:dyDescent="0.3">
      <c r="A4063" s="2">
        <v>45827.208333333343</v>
      </c>
      <c r="B4063">
        <f>4003.52496581633*(3/4)</f>
        <v>3002.643724362249</v>
      </c>
    </row>
    <row r="4064" spans="1:2" x14ac:dyDescent="0.3">
      <c r="A4064" s="2">
        <v>45827.25</v>
      </c>
      <c r="B4064">
        <f>4083.70753660291*(3/4)</f>
        <v>3062.7806524521861</v>
      </c>
    </row>
    <row r="4065" spans="1:2" x14ac:dyDescent="0.3">
      <c r="A4065" s="2">
        <v>45827.291666666657</v>
      </c>
      <c r="B4065">
        <f>4101.94340470417*(3/4)</f>
        <v>3076.4575535281251</v>
      </c>
    </row>
    <row r="4066" spans="1:2" x14ac:dyDescent="0.3">
      <c r="A4066" s="2">
        <v>45827.333333333343</v>
      </c>
      <c r="B4066">
        <f>4267.44823156941*(3/4)</f>
        <v>3200.5861736770603</v>
      </c>
    </row>
    <row r="4067" spans="1:2" x14ac:dyDescent="0.3">
      <c r="A4067" s="2">
        <v>45827.375</v>
      </c>
      <c r="B4067">
        <f>4156.78002825956*(3/4)</f>
        <v>3117.5850211946672</v>
      </c>
    </row>
    <row r="4068" spans="1:2" x14ac:dyDescent="0.3">
      <c r="A4068" s="2">
        <v>45827.416666666657</v>
      </c>
      <c r="B4068">
        <f>4484.42163871537*(3/4)</f>
        <v>3363.3162290365262</v>
      </c>
    </row>
    <row r="4069" spans="1:2" x14ac:dyDescent="0.3">
      <c r="A4069" s="2">
        <v>45827.458333333343</v>
      </c>
      <c r="B4069">
        <f>4128.99761373337*(3/4)</f>
        <v>3096.7482103000266</v>
      </c>
    </row>
    <row r="4070" spans="1:2" x14ac:dyDescent="0.3">
      <c r="A4070" s="2">
        <v>45827.5</v>
      </c>
      <c r="B4070">
        <f>4285.28682454816*(3/4)</f>
        <v>3213.9651184111171</v>
      </c>
    </row>
    <row r="4071" spans="1:2" x14ac:dyDescent="0.3">
      <c r="A4071" s="2">
        <v>45827.541666666657</v>
      </c>
      <c r="B4071">
        <f>4256.24113917172*(3/4)</f>
        <v>3192.1808543787911</v>
      </c>
    </row>
    <row r="4072" spans="1:2" x14ac:dyDescent="0.3">
      <c r="A4072" s="2">
        <v>45827.583333333343</v>
      </c>
      <c r="B4072">
        <f>3759.15422906342*(3/4)</f>
        <v>2819.365671797565</v>
      </c>
    </row>
    <row r="4073" spans="1:2" x14ac:dyDescent="0.3">
      <c r="A4073" s="2">
        <v>45827.625</v>
      </c>
      <c r="B4073">
        <f>4383.42307033571*(3/4)</f>
        <v>3287.5673027517851</v>
      </c>
    </row>
    <row r="4074" spans="1:2" x14ac:dyDescent="0.3">
      <c r="A4074" s="2">
        <v>45827.666666666657</v>
      </c>
      <c r="B4074">
        <f>4519.96181360159*(3/4)</f>
        <v>3389.9713602011952</v>
      </c>
    </row>
    <row r="4075" spans="1:2" x14ac:dyDescent="0.3">
      <c r="A4075" s="2">
        <v>45827.708333333343</v>
      </c>
      <c r="B4075">
        <f>4190.41216108126*(3/4)</f>
        <v>3142.8091208109477</v>
      </c>
    </row>
    <row r="4076" spans="1:2" x14ac:dyDescent="0.3">
      <c r="A4076" s="2">
        <v>45827.75</v>
      </c>
      <c r="B4076">
        <f>4297.20131657602*(3/4)</f>
        <v>3222.9009874320163</v>
      </c>
    </row>
    <row r="4077" spans="1:2" x14ac:dyDescent="0.3">
      <c r="A4077" s="2">
        <v>45827.791666666657</v>
      </c>
      <c r="B4077">
        <f>4336.14045967412*(3/4)</f>
        <v>3252.105344755591</v>
      </c>
    </row>
    <row r="4078" spans="1:2" x14ac:dyDescent="0.3">
      <c r="A4078" s="2">
        <v>45827.833333333343</v>
      </c>
      <c r="B4078">
        <f>3785.771380859*(3/4)</f>
        <v>2839.3285356442493</v>
      </c>
    </row>
    <row r="4079" spans="1:2" x14ac:dyDescent="0.3">
      <c r="A4079" s="2">
        <v>45827.875</v>
      </c>
      <c r="B4079">
        <f>4444.99628863138*(3/4)</f>
        <v>3333.7472164735382</v>
      </c>
    </row>
    <row r="4080" spans="1:2" x14ac:dyDescent="0.3">
      <c r="A4080" s="2">
        <v>45827.916666666657</v>
      </c>
      <c r="B4080">
        <f>3751.75112587815*(3/4)</f>
        <v>2813.8133444086138</v>
      </c>
    </row>
    <row r="4081" spans="1:2" x14ac:dyDescent="0.3">
      <c r="A4081" s="2">
        <v>45827.958333333343</v>
      </c>
      <c r="B4081">
        <f>3967.45625792927*(3/4)</f>
        <v>2975.5921934469498</v>
      </c>
    </row>
    <row r="4082" spans="1:2" x14ac:dyDescent="0.3">
      <c r="A4082" s="2">
        <v>45828</v>
      </c>
      <c r="B4082">
        <f>4324.7302723785*(3/4)</f>
        <v>3243.5477042838738</v>
      </c>
    </row>
    <row r="4083" spans="1:2" x14ac:dyDescent="0.3">
      <c r="A4083" s="2">
        <v>45828.041666666657</v>
      </c>
      <c r="B4083">
        <f>3975.47232127699*(3/4)</f>
        <v>2981.6042409577449</v>
      </c>
    </row>
    <row r="4084" spans="1:2" x14ac:dyDescent="0.3">
      <c r="A4084" s="2">
        <v>45828.083333333343</v>
      </c>
      <c r="B4084">
        <f>4143.1111163381*(3/4)</f>
        <v>3107.3333372535781</v>
      </c>
    </row>
    <row r="4085" spans="1:2" x14ac:dyDescent="0.3">
      <c r="A4085" s="2">
        <v>45828.125</v>
      </c>
      <c r="B4085">
        <f>4272.93013809375*(3/4)</f>
        <v>3204.6976035703128</v>
      </c>
    </row>
    <row r="4086" spans="1:2" x14ac:dyDescent="0.3">
      <c r="A4086" s="2">
        <v>45828.166666666657</v>
      </c>
      <c r="B4086">
        <f>4302.72332314118*(3/4)</f>
        <v>3227.0424923558867</v>
      </c>
    </row>
    <row r="4087" spans="1:2" x14ac:dyDescent="0.3">
      <c r="A4087" s="2">
        <v>45828.208333333343</v>
      </c>
      <c r="B4087">
        <f>4006.8032293079*(3/4)</f>
        <v>3005.1024219809251</v>
      </c>
    </row>
    <row r="4088" spans="1:2" x14ac:dyDescent="0.3">
      <c r="A4088" s="2">
        <v>45828.25</v>
      </c>
      <c r="B4088">
        <f>3814.38515209279*(3/4)</f>
        <v>2860.7888640695946</v>
      </c>
    </row>
    <row r="4089" spans="1:2" x14ac:dyDescent="0.3">
      <c r="A4089" s="2">
        <v>45828.291666666657</v>
      </c>
      <c r="B4089">
        <f>4370.27315004189*(3/4)</f>
        <v>3277.7048625314183</v>
      </c>
    </row>
    <row r="4090" spans="1:2" x14ac:dyDescent="0.3">
      <c r="A4090" s="2">
        <v>45828.333333333343</v>
      </c>
      <c r="B4090">
        <f>4397.87476317059*(3/4)</f>
        <v>3298.4060723779426</v>
      </c>
    </row>
    <row r="4091" spans="1:2" x14ac:dyDescent="0.3">
      <c r="A4091" s="2">
        <v>45828.375</v>
      </c>
      <c r="B4091">
        <f>4447.41686504369*(3/4)</f>
        <v>3335.5626487827685</v>
      </c>
    </row>
    <row r="4092" spans="1:2" x14ac:dyDescent="0.3">
      <c r="A4092" s="2">
        <v>45828.416666666657</v>
      </c>
      <c r="B4092">
        <f>4141.73713972193*(3/4)</f>
        <v>3106.3028547914491</v>
      </c>
    </row>
    <row r="4093" spans="1:2" x14ac:dyDescent="0.3">
      <c r="A4093" s="2">
        <v>45828.458333333343</v>
      </c>
      <c r="B4093">
        <f>4339.10773182436*(3/4)</f>
        <v>3254.3307988682677</v>
      </c>
    </row>
    <row r="4094" spans="1:2" x14ac:dyDescent="0.3">
      <c r="A4094" s="2">
        <v>45828.5</v>
      </c>
      <c r="B4094">
        <f>4447.38233870322*(3/4)</f>
        <v>3335.5367540274156</v>
      </c>
    </row>
    <row r="4095" spans="1:2" x14ac:dyDescent="0.3">
      <c r="A4095" s="2">
        <v>45828.541666666657</v>
      </c>
      <c r="B4095">
        <f>4044.94548499501*(3/4)</f>
        <v>3033.7091137462558</v>
      </c>
    </row>
    <row r="4096" spans="1:2" x14ac:dyDescent="0.3">
      <c r="A4096" s="2">
        <v>45828.583333333343</v>
      </c>
      <c r="B4096">
        <f>3869.44189468339*(3/4)</f>
        <v>2902.0814210125409</v>
      </c>
    </row>
    <row r="4097" spans="1:2" x14ac:dyDescent="0.3">
      <c r="A4097" s="2">
        <v>45828.625</v>
      </c>
      <c r="B4097">
        <f>4130.29375170315*(3/4)</f>
        <v>3097.7203137773636</v>
      </c>
    </row>
    <row r="4098" spans="1:2" x14ac:dyDescent="0.3">
      <c r="A4098" s="2">
        <v>45828.666666666657</v>
      </c>
      <c r="B4098">
        <f>4418.52104977369*(3/4)</f>
        <v>3313.8907873302705</v>
      </c>
    </row>
    <row r="4099" spans="1:2" x14ac:dyDescent="0.3">
      <c r="A4099" s="2">
        <v>45828.708333333343</v>
      </c>
      <c r="B4099">
        <f>4393.3080910303*(3/4)</f>
        <v>3294.9810682727248</v>
      </c>
    </row>
    <row r="4100" spans="1:2" x14ac:dyDescent="0.3">
      <c r="A4100" s="2">
        <v>45828.75</v>
      </c>
      <c r="B4100">
        <f>4204.66209708346*(3/4)</f>
        <v>3153.4965728125917</v>
      </c>
    </row>
    <row r="4101" spans="1:2" x14ac:dyDescent="0.3">
      <c r="A4101" s="2">
        <v>45828.791666666657</v>
      </c>
      <c r="B4101">
        <f>4439.4035571608*(3/4)</f>
        <v>3329.5526678705992</v>
      </c>
    </row>
    <row r="4102" spans="1:2" x14ac:dyDescent="0.3">
      <c r="A4102" s="2">
        <v>45828.833333333343</v>
      </c>
      <c r="B4102">
        <f>4376.19227540852*(3/4)</f>
        <v>3282.144206556392</v>
      </c>
    </row>
    <row r="4103" spans="1:2" x14ac:dyDescent="0.3">
      <c r="A4103" s="2">
        <v>45828.875</v>
      </c>
      <c r="B4103">
        <f>4113.16464315216*(3/4)</f>
        <v>3084.873482364118</v>
      </c>
    </row>
    <row r="4104" spans="1:2" x14ac:dyDescent="0.3">
      <c r="A4104" s="2">
        <v>45828.916666666657</v>
      </c>
      <c r="B4104">
        <f>3941.92663480896*(3/4)</f>
        <v>2956.4449761067194</v>
      </c>
    </row>
    <row r="4105" spans="1:2" x14ac:dyDescent="0.3">
      <c r="A4105" s="2">
        <v>45828.958333333343</v>
      </c>
      <c r="B4105">
        <f>3938.896912235*(3/4)</f>
        <v>2954.1726841762479</v>
      </c>
    </row>
    <row r="4106" spans="1:2" x14ac:dyDescent="0.3">
      <c r="A4106" s="2">
        <v>45829</v>
      </c>
      <c r="B4106">
        <f>4513.79798330798*(3/4)</f>
        <v>3385.3484874809865</v>
      </c>
    </row>
    <row r="4107" spans="1:2" x14ac:dyDescent="0.3">
      <c r="A4107" s="2">
        <v>45829.041666666657</v>
      </c>
      <c r="B4107">
        <f>3929.89212616268*(3/4)</f>
        <v>2947.4190946220128</v>
      </c>
    </row>
    <row r="4108" spans="1:2" x14ac:dyDescent="0.3">
      <c r="A4108" s="2">
        <v>45829.083333333343</v>
      </c>
      <c r="B4108">
        <f>3978.68764167579*(3/4)</f>
        <v>2984.0157312568449</v>
      </c>
    </row>
    <row r="4109" spans="1:2" x14ac:dyDescent="0.3">
      <c r="A4109" s="2">
        <v>45829.125</v>
      </c>
      <c r="B4109">
        <f>4198.68514357326*(3/4)</f>
        <v>3149.0138576799473</v>
      </c>
    </row>
    <row r="4110" spans="1:2" x14ac:dyDescent="0.3">
      <c r="A4110" s="2">
        <v>45829.166666666657</v>
      </c>
      <c r="B4110">
        <f>4094.42808358503*(3/4)</f>
        <v>3070.8210626887717</v>
      </c>
    </row>
    <row r="4111" spans="1:2" x14ac:dyDescent="0.3">
      <c r="A4111" s="2">
        <v>45829.208333333343</v>
      </c>
      <c r="B4111">
        <f>4206.07601715748*(3/4)</f>
        <v>3154.5570128681093</v>
      </c>
    </row>
    <row r="4112" spans="1:2" x14ac:dyDescent="0.3">
      <c r="A4112" s="2">
        <v>45829.25</v>
      </c>
      <c r="B4112">
        <f>3792.24908635065*(3/4)</f>
        <v>2844.1868147629884</v>
      </c>
    </row>
    <row r="4113" spans="1:2" x14ac:dyDescent="0.3">
      <c r="A4113" s="2">
        <v>45829.291666666657</v>
      </c>
      <c r="B4113">
        <f>4208.54129702642*(3/4)</f>
        <v>3156.4059727698113</v>
      </c>
    </row>
    <row r="4114" spans="1:2" x14ac:dyDescent="0.3">
      <c r="A4114" s="2">
        <v>45829.333333333343</v>
      </c>
      <c r="B4114">
        <f>4337.29953492747*(3/4)</f>
        <v>3252.9746511956009</v>
      </c>
    </row>
    <row r="4115" spans="1:2" x14ac:dyDescent="0.3">
      <c r="A4115" s="2">
        <v>45829.375</v>
      </c>
      <c r="B4115">
        <f>4343.68749751248*(3/4)</f>
        <v>3257.7656231343608</v>
      </c>
    </row>
    <row r="4116" spans="1:2" x14ac:dyDescent="0.3">
      <c r="A4116" s="2">
        <v>45829.416666666657</v>
      </c>
      <c r="B4116">
        <f>4096.61827950888*(3/4)</f>
        <v>3072.4637096316601</v>
      </c>
    </row>
    <row r="4117" spans="1:2" x14ac:dyDescent="0.3">
      <c r="A4117" s="2">
        <v>45829.458333333343</v>
      </c>
      <c r="B4117">
        <f>4499.34479611512*(3/4)</f>
        <v>3374.5085970863365</v>
      </c>
    </row>
    <row r="4118" spans="1:2" x14ac:dyDescent="0.3">
      <c r="A4118" s="2">
        <v>45829.5</v>
      </c>
      <c r="B4118">
        <f>4216.89473910044*(3/4)</f>
        <v>3162.6710543253339</v>
      </c>
    </row>
    <row r="4119" spans="1:2" x14ac:dyDescent="0.3">
      <c r="A4119" s="2">
        <v>45829.541666666657</v>
      </c>
      <c r="B4119">
        <f>4243.1319512066*(3/4)</f>
        <v>3182.3489634049474</v>
      </c>
    </row>
    <row r="4120" spans="1:2" x14ac:dyDescent="0.3">
      <c r="A4120" s="2">
        <v>45829.583333333343</v>
      </c>
      <c r="B4120">
        <f>3996.65474275224*(3/4)</f>
        <v>2997.49105706418</v>
      </c>
    </row>
    <row r="4121" spans="1:2" x14ac:dyDescent="0.3">
      <c r="A4121" s="2">
        <v>45829.625</v>
      </c>
      <c r="B4121">
        <f>4021.8363374436*(3/4)</f>
        <v>3016.3772530827018</v>
      </c>
    </row>
    <row r="4122" spans="1:2" x14ac:dyDescent="0.3">
      <c r="A4122" s="2">
        <v>45829.666666666657</v>
      </c>
      <c r="B4122">
        <f>4343.95853090296*(3/4)</f>
        <v>3257.9688981772233</v>
      </c>
    </row>
    <row r="4123" spans="1:2" x14ac:dyDescent="0.3">
      <c r="A4123" s="2">
        <v>45829.708333333343</v>
      </c>
      <c r="B4123">
        <f>4324.41574362506*(3/4)</f>
        <v>3243.3118077187974</v>
      </c>
    </row>
    <row r="4124" spans="1:2" x14ac:dyDescent="0.3">
      <c r="A4124" s="2">
        <v>45829.75</v>
      </c>
      <c r="B4124">
        <f>4399.70526940923*(3/4)</f>
        <v>3299.7789520569249</v>
      </c>
    </row>
    <row r="4125" spans="1:2" x14ac:dyDescent="0.3">
      <c r="A4125" s="2">
        <v>45829.791666666657</v>
      </c>
      <c r="B4125">
        <f>3568.76768170972*(3/4)</f>
        <v>2676.5757612822886</v>
      </c>
    </row>
    <row r="4126" spans="1:2" x14ac:dyDescent="0.3">
      <c r="A4126" s="2">
        <v>45829.833333333343</v>
      </c>
      <c r="B4126">
        <f>4181.72183239025*(3/4)</f>
        <v>3136.2913742926853</v>
      </c>
    </row>
    <row r="4127" spans="1:2" x14ac:dyDescent="0.3">
      <c r="A4127" s="2">
        <v>45829.875</v>
      </c>
      <c r="B4127">
        <f>4179.74280077044*(3/4)</f>
        <v>3134.8071005778311</v>
      </c>
    </row>
    <row r="4128" spans="1:2" x14ac:dyDescent="0.3">
      <c r="A4128" s="2">
        <v>45829.916666666657</v>
      </c>
      <c r="B4128">
        <f>3962.44494545662*(3/4)</f>
        <v>2971.8337090924629</v>
      </c>
    </row>
    <row r="4129" spans="1:2" x14ac:dyDescent="0.3">
      <c r="A4129" s="2">
        <v>45829.958333333343</v>
      </c>
      <c r="B4129">
        <f>4050.90910943174*(3/4)</f>
        <v>3038.1818320738012</v>
      </c>
    </row>
    <row r="4130" spans="1:2" x14ac:dyDescent="0.3">
      <c r="A4130" s="2">
        <v>45830</v>
      </c>
      <c r="B4130">
        <f>4449.62648667282*(3/4)</f>
        <v>3337.2198650046121</v>
      </c>
    </row>
    <row r="4131" spans="1:2" x14ac:dyDescent="0.3">
      <c r="A4131" s="2">
        <v>45830.041666666657</v>
      </c>
      <c r="B4131">
        <f>4183.99207144482*(3/4)</f>
        <v>3137.9940535836149</v>
      </c>
    </row>
    <row r="4132" spans="1:2" x14ac:dyDescent="0.3">
      <c r="A4132" s="2">
        <v>45830.083333333343</v>
      </c>
      <c r="B4132">
        <f>3969.13851188406*(3/4)</f>
        <v>2976.8538839130488</v>
      </c>
    </row>
    <row r="4133" spans="1:2" x14ac:dyDescent="0.3">
      <c r="A4133" s="2">
        <v>45830.125</v>
      </c>
      <c r="B4133">
        <f>4264.24069992294*(3/4)</f>
        <v>3198.1805249422027</v>
      </c>
    </row>
    <row r="4134" spans="1:2" x14ac:dyDescent="0.3">
      <c r="A4134" s="2">
        <v>45830.166666666657</v>
      </c>
      <c r="B4134">
        <f>4280.81678115834*(3/4)</f>
        <v>3210.6125858687537</v>
      </c>
    </row>
    <row r="4135" spans="1:2" x14ac:dyDescent="0.3">
      <c r="A4135" s="2">
        <v>45830.208333333343</v>
      </c>
      <c r="B4135">
        <f>4127.21084412972*(3/4)</f>
        <v>3095.408133097289</v>
      </c>
    </row>
    <row r="4136" spans="1:2" x14ac:dyDescent="0.3">
      <c r="A4136" s="2">
        <v>45830.25</v>
      </c>
      <c r="B4136">
        <f>3800.47273618238*(3/4)</f>
        <v>2850.3545521367832</v>
      </c>
    </row>
    <row r="4137" spans="1:2" x14ac:dyDescent="0.3">
      <c r="A4137" s="2">
        <v>45830.291666666657</v>
      </c>
      <c r="B4137">
        <f>4235.87775662277*(3/4)</f>
        <v>3176.9083174670777</v>
      </c>
    </row>
    <row r="4138" spans="1:2" x14ac:dyDescent="0.3">
      <c r="A4138" s="2">
        <v>45830.333333333343</v>
      </c>
      <c r="B4138">
        <f>3631.38856100747*(3/4)</f>
        <v>2723.5414207556009</v>
      </c>
    </row>
    <row r="4139" spans="1:2" x14ac:dyDescent="0.3">
      <c r="A4139" s="2">
        <v>45830.375</v>
      </c>
      <c r="B4139">
        <f>3199.11556479916*(3/4)</f>
        <v>2399.3366735993677</v>
      </c>
    </row>
    <row r="4140" spans="1:2" x14ac:dyDescent="0.3">
      <c r="A4140" s="2">
        <v>45830.416666666657</v>
      </c>
      <c r="B4140">
        <f>3203.59501163728*(3/4)</f>
        <v>2402.6962587279609</v>
      </c>
    </row>
    <row r="4141" spans="1:2" x14ac:dyDescent="0.3">
      <c r="A4141" s="2">
        <v>45830.458333333343</v>
      </c>
      <c r="B4141">
        <f>3644.58096073227*(3/4)</f>
        <v>2733.4357205491992</v>
      </c>
    </row>
    <row r="4142" spans="1:2" x14ac:dyDescent="0.3">
      <c r="A4142" s="2">
        <v>45830.5</v>
      </c>
      <c r="B4142">
        <f>3502.22335739219*(3/4)</f>
        <v>2626.6675180441425</v>
      </c>
    </row>
    <row r="4143" spans="1:2" x14ac:dyDescent="0.3">
      <c r="A4143" s="2">
        <v>45830.541666666657</v>
      </c>
      <c r="B4143">
        <f>3614.47015006314*(3/4)</f>
        <v>2710.8526125473527</v>
      </c>
    </row>
    <row r="4144" spans="1:2" x14ac:dyDescent="0.3">
      <c r="A4144" s="2">
        <v>45830.583333333343</v>
      </c>
      <c r="B4144">
        <f>3191.23174293101*(3/4)</f>
        <v>2393.4238071982591</v>
      </c>
    </row>
    <row r="4145" spans="1:2" x14ac:dyDescent="0.3">
      <c r="A4145" s="2">
        <v>45830.625</v>
      </c>
      <c r="B4145">
        <f>3212.16104885169*(3/4)</f>
        <v>2409.1207866387704</v>
      </c>
    </row>
    <row r="4146" spans="1:2" x14ac:dyDescent="0.3">
      <c r="A4146" s="2">
        <v>45830.666666666657</v>
      </c>
      <c r="B4146">
        <f>3813.57294443598*(3/4)</f>
        <v>2860.1797083269848</v>
      </c>
    </row>
    <row r="4147" spans="1:2" x14ac:dyDescent="0.3">
      <c r="A4147" s="2">
        <v>45830.708333333343</v>
      </c>
      <c r="B4147">
        <f>4229.3482689247*(3/4)</f>
        <v>3172.0112016935245</v>
      </c>
    </row>
    <row r="4148" spans="1:2" x14ac:dyDescent="0.3">
      <c r="A4148" s="2">
        <v>45830.75</v>
      </c>
      <c r="B4148">
        <f>4013.91573019899*(3/4)</f>
        <v>3010.4367976492463</v>
      </c>
    </row>
    <row r="4149" spans="1:2" x14ac:dyDescent="0.3">
      <c r="A4149" s="2">
        <v>45830.791666666657</v>
      </c>
      <c r="B4149">
        <f>4221.62826443408*(3/4)</f>
        <v>3166.2211983255606</v>
      </c>
    </row>
    <row r="4150" spans="1:2" x14ac:dyDescent="0.3">
      <c r="A4150" s="2">
        <v>45830.833333333343</v>
      </c>
      <c r="B4150">
        <f>4441.02198148139*(3/4)</f>
        <v>3330.7664861110416</v>
      </c>
    </row>
    <row r="4151" spans="1:2" x14ac:dyDescent="0.3">
      <c r="A4151" s="2">
        <v>45830.875</v>
      </c>
      <c r="B4151">
        <f>4249.71272347146*(3/4)</f>
        <v>3187.2845426035983</v>
      </c>
    </row>
    <row r="4152" spans="1:2" x14ac:dyDescent="0.3">
      <c r="A4152" s="2">
        <v>45830.916666666657</v>
      </c>
      <c r="B4152">
        <f>3912.31285755426*(3/4)</f>
        <v>2934.2346431656956</v>
      </c>
    </row>
    <row r="4153" spans="1:2" x14ac:dyDescent="0.3">
      <c r="A4153" s="2">
        <v>45830.958333333343</v>
      </c>
      <c r="B4153">
        <f>3969.12696097726*(3/4)</f>
        <v>2976.8452207329428</v>
      </c>
    </row>
    <row r="4154" spans="1:2" x14ac:dyDescent="0.3">
      <c r="A4154" s="2">
        <v>45831</v>
      </c>
      <c r="B4154">
        <f>4306.29858220052*(3/4)</f>
        <v>3229.7239366503868</v>
      </c>
    </row>
    <row r="4155" spans="1:2" x14ac:dyDescent="0.3">
      <c r="A4155" s="2">
        <v>45831.041666666657</v>
      </c>
      <c r="B4155">
        <f>3974.29110617556*(3/4)</f>
        <v>2980.7183296316693</v>
      </c>
    </row>
    <row r="4156" spans="1:2" x14ac:dyDescent="0.3">
      <c r="A4156" s="2">
        <v>45831.083333333343</v>
      </c>
      <c r="B4156">
        <f>3859.27302740784*(3/4)</f>
        <v>2894.4547705558793</v>
      </c>
    </row>
    <row r="4157" spans="1:2" x14ac:dyDescent="0.3">
      <c r="A4157" s="2">
        <v>45831.125</v>
      </c>
      <c r="B4157">
        <f>4263.59664425427*(3/4)</f>
        <v>3197.6974831907046</v>
      </c>
    </row>
    <row r="4158" spans="1:2" x14ac:dyDescent="0.3">
      <c r="A4158" s="2">
        <v>45831.166666666657</v>
      </c>
      <c r="B4158">
        <f>3940.35101557884*(3/4)</f>
        <v>2955.2632616841306</v>
      </c>
    </row>
    <row r="4159" spans="1:2" x14ac:dyDescent="0.3">
      <c r="A4159" s="2">
        <v>45831.208333333343</v>
      </c>
      <c r="B4159">
        <f>4125.97229573294*(3/4)</f>
        <v>3094.4792217997065</v>
      </c>
    </row>
    <row r="4160" spans="1:2" x14ac:dyDescent="0.3">
      <c r="A4160" s="2">
        <v>45831.25</v>
      </c>
      <c r="B4160">
        <f>3855.56262927978*(3/4)</f>
        <v>2891.6719719598327</v>
      </c>
    </row>
    <row r="4161" spans="1:2" x14ac:dyDescent="0.3">
      <c r="A4161" s="2">
        <v>45831.291666666657</v>
      </c>
      <c r="B4161">
        <f>4280.08161640681*(3/4)</f>
        <v>3210.0612123051105</v>
      </c>
    </row>
    <row r="4162" spans="1:2" x14ac:dyDescent="0.3">
      <c r="A4162" s="2">
        <v>45831.333333333343</v>
      </c>
      <c r="B4162">
        <f>4390.30421673824*(3/4)</f>
        <v>3292.7281625536834</v>
      </c>
    </row>
    <row r="4163" spans="1:2" x14ac:dyDescent="0.3">
      <c r="A4163" s="2">
        <v>45831.375</v>
      </c>
      <c r="B4163">
        <f>4124.81591494248*(3/4)</f>
        <v>3093.6119362068612</v>
      </c>
    </row>
    <row r="4164" spans="1:2" x14ac:dyDescent="0.3">
      <c r="A4164" s="2">
        <v>45831.416666666657</v>
      </c>
      <c r="B4164">
        <f>4504.07645146062*(3/4)</f>
        <v>3378.0573385954685</v>
      </c>
    </row>
    <row r="4165" spans="1:2" x14ac:dyDescent="0.3">
      <c r="A4165" s="2">
        <v>45831.458333333343</v>
      </c>
      <c r="B4165">
        <f>4037.84904937782*(3/4)</f>
        <v>3028.3867870333643</v>
      </c>
    </row>
    <row r="4166" spans="1:2" x14ac:dyDescent="0.3">
      <c r="A4166" s="2">
        <v>45831.5</v>
      </c>
      <c r="B4166">
        <f>4032.69626950056*(3/4)</f>
        <v>3024.522202125424</v>
      </c>
    </row>
    <row r="4167" spans="1:2" x14ac:dyDescent="0.3">
      <c r="A4167" s="2">
        <v>45831.541666666657</v>
      </c>
      <c r="B4167">
        <f>4080.83001555097*(3/4)</f>
        <v>3060.6225116632245</v>
      </c>
    </row>
    <row r="4168" spans="1:2" x14ac:dyDescent="0.3">
      <c r="A4168" s="2">
        <v>45831.583333333343</v>
      </c>
      <c r="B4168">
        <f>4034.31377167472*(3/4)</f>
        <v>3025.7353287560413</v>
      </c>
    </row>
    <row r="4169" spans="1:2" x14ac:dyDescent="0.3">
      <c r="A4169" s="2">
        <v>45831.625</v>
      </c>
      <c r="B4169">
        <f>4187.79007704553*(3/4)</f>
        <v>3140.8425577841472</v>
      </c>
    </row>
    <row r="4170" spans="1:2" x14ac:dyDescent="0.3">
      <c r="A4170" s="2">
        <v>45831.666666666657</v>
      </c>
      <c r="B4170">
        <f>4272.13269236555*(3/4)</f>
        <v>3204.0995192741616</v>
      </c>
    </row>
    <row r="4171" spans="1:2" x14ac:dyDescent="0.3">
      <c r="A4171" s="2">
        <v>45831.708333333343</v>
      </c>
      <c r="B4171">
        <f>4199.5372252694*(3/4)</f>
        <v>3149.6529189520534</v>
      </c>
    </row>
    <row r="4172" spans="1:2" x14ac:dyDescent="0.3">
      <c r="A4172" s="2">
        <v>45831.75</v>
      </c>
      <c r="B4172">
        <f>4155.96170436185*(3/4)</f>
        <v>3116.9712782713882</v>
      </c>
    </row>
    <row r="4173" spans="1:2" x14ac:dyDescent="0.3">
      <c r="A4173" s="2">
        <v>45831.791666666657</v>
      </c>
      <c r="B4173">
        <f>4288.73711242023*(3/4)</f>
        <v>3216.5528343151746</v>
      </c>
    </row>
    <row r="4174" spans="1:2" x14ac:dyDescent="0.3">
      <c r="A4174" s="2">
        <v>45831.833333333343</v>
      </c>
      <c r="B4174">
        <f>4316.88349666446*(3/4)</f>
        <v>3237.662622498347</v>
      </c>
    </row>
    <row r="4175" spans="1:2" x14ac:dyDescent="0.3">
      <c r="A4175" s="2">
        <v>45831.875</v>
      </c>
      <c r="B4175">
        <f>4391.73212789629*(3/4)</f>
        <v>3293.7990959222152</v>
      </c>
    </row>
    <row r="4176" spans="1:2" x14ac:dyDescent="0.3">
      <c r="A4176" s="2">
        <v>45831.916666666657</v>
      </c>
      <c r="B4176">
        <f>3848.23521391746*(3/4)</f>
        <v>2886.1764104380954</v>
      </c>
    </row>
    <row r="4177" spans="1:2" x14ac:dyDescent="0.3">
      <c r="A4177" s="2">
        <v>45831.958333333343</v>
      </c>
      <c r="B4177">
        <f>4039.62244431446*(3/4)</f>
        <v>3029.716833235846</v>
      </c>
    </row>
    <row r="4178" spans="1:2" x14ac:dyDescent="0.3">
      <c r="A4178" s="2">
        <v>45832</v>
      </c>
      <c r="B4178">
        <f>4098.18418497319*(3/4)</f>
        <v>3073.6381387298898</v>
      </c>
    </row>
    <row r="4179" spans="1:2" x14ac:dyDescent="0.3">
      <c r="A4179" s="2">
        <v>45832.041666666657</v>
      </c>
      <c r="B4179">
        <f>3904.47774695087*(3/4)</f>
        <v>2928.3583102131556</v>
      </c>
    </row>
    <row r="4180" spans="1:2" x14ac:dyDescent="0.3">
      <c r="A4180" s="2">
        <v>45832.083333333343</v>
      </c>
      <c r="B4180">
        <f>4287.64860968761*(3/4)</f>
        <v>3215.7364572657043</v>
      </c>
    </row>
    <row r="4181" spans="1:2" x14ac:dyDescent="0.3">
      <c r="A4181" s="2">
        <v>45832.125</v>
      </c>
      <c r="B4181">
        <f>4217.18918430306*(3/4)</f>
        <v>3162.8918882272969</v>
      </c>
    </row>
    <row r="4182" spans="1:2" x14ac:dyDescent="0.3">
      <c r="A4182" s="2">
        <v>45832.166666666657</v>
      </c>
      <c r="B4182">
        <f>4016.43994741934*(3/4)</f>
        <v>3012.3299605645057</v>
      </c>
    </row>
    <row r="4183" spans="1:2" x14ac:dyDescent="0.3">
      <c r="A4183" s="2">
        <v>45832.208333333343</v>
      </c>
      <c r="B4183">
        <f>4034.36178811973*(3/4)</f>
        <v>3025.7713410897945</v>
      </c>
    </row>
    <row r="4184" spans="1:2" x14ac:dyDescent="0.3">
      <c r="A4184" s="2">
        <v>45832.25</v>
      </c>
      <c r="B4184">
        <f>4193.67595318269*(3/4)</f>
        <v>3145.256964887014</v>
      </c>
    </row>
    <row r="4185" spans="1:2" x14ac:dyDescent="0.3">
      <c r="A4185" s="2">
        <v>45832.291666666657</v>
      </c>
      <c r="B4185">
        <f>4098.13950395367*(3/4)</f>
        <v>3073.6046279652492</v>
      </c>
    </row>
    <row r="4186" spans="1:2" x14ac:dyDescent="0.3">
      <c r="A4186" s="2">
        <v>45832.333333333343</v>
      </c>
      <c r="B4186">
        <f>4549.84023908047*(3/4)</f>
        <v>3412.3801793103557</v>
      </c>
    </row>
    <row r="4187" spans="1:2" x14ac:dyDescent="0.3">
      <c r="A4187" s="2">
        <v>45832.375</v>
      </c>
      <c r="B4187">
        <f>4171.28262595595*(3/4)</f>
        <v>3128.461969466965</v>
      </c>
    </row>
    <row r="4188" spans="1:2" x14ac:dyDescent="0.3">
      <c r="A4188" s="2">
        <v>45832.416666666657</v>
      </c>
      <c r="B4188">
        <f>4157.15484217762*(3/4)</f>
        <v>3117.8661316332168</v>
      </c>
    </row>
    <row r="4189" spans="1:2" x14ac:dyDescent="0.3">
      <c r="A4189" s="2">
        <v>45832.458333333343</v>
      </c>
      <c r="B4189">
        <f>4206.44302873439*(3/4)</f>
        <v>3154.8322715507893</v>
      </c>
    </row>
    <row r="4190" spans="1:2" x14ac:dyDescent="0.3">
      <c r="A4190" s="2">
        <v>45832.5</v>
      </c>
      <c r="B4190">
        <f>4728.0854688431*(3/4)</f>
        <v>3546.0641016323216</v>
      </c>
    </row>
    <row r="4191" spans="1:2" x14ac:dyDescent="0.3">
      <c r="A4191" s="2">
        <v>45832.541666666657</v>
      </c>
      <c r="B4191">
        <f>4252.87113849752*(3/4)</f>
        <v>3189.6533538731369</v>
      </c>
    </row>
    <row r="4192" spans="1:2" x14ac:dyDescent="0.3">
      <c r="A4192" s="2">
        <v>45832.583333333343</v>
      </c>
      <c r="B4192">
        <f>3980.72246534654*(3/4)</f>
        <v>2985.5418490099046</v>
      </c>
    </row>
    <row r="4193" spans="1:2" x14ac:dyDescent="0.3">
      <c r="A4193" s="2">
        <v>45832.625</v>
      </c>
      <c r="B4193">
        <f>4519.38154286701*(3/4)</f>
        <v>3389.5361571502558</v>
      </c>
    </row>
    <row r="4194" spans="1:2" x14ac:dyDescent="0.3">
      <c r="A4194" s="2">
        <v>45832.666666666657</v>
      </c>
      <c r="B4194">
        <f>3989.30491414572*(3/4)</f>
        <v>2991.9786856092937</v>
      </c>
    </row>
    <row r="4195" spans="1:2" x14ac:dyDescent="0.3">
      <c r="A4195" s="2">
        <v>45832.708333333343</v>
      </c>
      <c r="B4195">
        <f>3989.50891820256*(3/4)</f>
        <v>2992.131688651918</v>
      </c>
    </row>
    <row r="4196" spans="1:2" x14ac:dyDescent="0.3">
      <c r="A4196" s="2">
        <v>45832.75</v>
      </c>
      <c r="B4196">
        <f>4432.85527101291*(3/4)</f>
        <v>3324.6414532596823</v>
      </c>
    </row>
    <row r="4197" spans="1:2" x14ac:dyDescent="0.3">
      <c r="A4197" s="2">
        <v>45832.791666666657</v>
      </c>
      <c r="B4197">
        <f>4138.79023339926*(3/4)</f>
        <v>3104.0926750494414</v>
      </c>
    </row>
    <row r="4198" spans="1:2" x14ac:dyDescent="0.3">
      <c r="A4198" s="2">
        <v>45832.833333333343</v>
      </c>
      <c r="B4198">
        <f>4502.75589279613*(3/4)</f>
        <v>3377.066919597095</v>
      </c>
    </row>
    <row r="4199" spans="1:2" x14ac:dyDescent="0.3">
      <c r="A4199" s="2">
        <v>45832.875</v>
      </c>
      <c r="B4199">
        <f>4197.02835606079*(3/4)</f>
        <v>3147.7712670455894</v>
      </c>
    </row>
    <row r="4200" spans="1:2" x14ac:dyDescent="0.3">
      <c r="A4200" s="2">
        <v>45832.916666666657</v>
      </c>
      <c r="B4200">
        <f>3828.72370831384*(3/4)</f>
        <v>2871.5427812353801</v>
      </c>
    </row>
    <row r="4201" spans="1:2" x14ac:dyDescent="0.3">
      <c r="A4201" s="2">
        <v>45832.958333333343</v>
      </c>
      <c r="B4201">
        <f>4368.27138937437*(3/4)</f>
        <v>3276.2035420307802</v>
      </c>
    </row>
    <row r="4202" spans="1:2" x14ac:dyDescent="0.3">
      <c r="A4202" s="2">
        <v>45833</v>
      </c>
      <c r="B4202">
        <f>4085.13998784582*(3/4)</f>
        <v>3063.8549908843615</v>
      </c>
    </row>
    <row r="4203" spans="1:2" x14ac:dyDescent="0.3">
      <c r="A4203" s="2">
        <v>45833.041666666657</v>
      </c>
      <c r="B4203">
        <f>3919.19421094756*(3/4)</f>
        <v>2939.3956582106707</v>
      </c>
    </row>
    <row r="4204" spans="1:2" x14ac:dyDescent="0.3">
      <c r="A4204" s="2">
        <v>45833.083333333343</v>
      </c>
      <c r="B4204">
        <f>4168.7974562686*(3/4)</f>
        <v>3126.5980922014478</v>
      </c>
    </row>
    <row r="4205" spans="1:2" x14ac:dyDescent="0.3">
      <c r="A4205" s="2">
        <v>45833.125</v>
      </c>
      <c r="B4205">
        <f>4294.71633388431*(3/4)</f>
        <v>3221.0372504132333</v>
      </c>
    </row>
    <row r="4206" spans="1:2" x14ac:dyDescent="0.3">
      <c r="A4206" s="2">
        <v>45833.166666666657</v>
      </c>
      <c r="B4206">
        <f>3785.76599758254*(3/4)</f>
        <v>2839.3244981869047</v>
      </c>
    </row>
    <row r="4207" spans="1:2" x14ac:dyDescent="0.3">
      <c r="A4207" s="2">
        <v>45833.208333333343</v>
      </c>
      <c r="B4207">
        <f>4193.7478491344*(3/4)</f>
        <v>3145.3108868507979</v>
      </c>
    </row>
    <row r="4208" spans="1:2" x14ac:dyDescent="0.3">
      <c r="A4208" s="2">
        <v>45833.25</v>
      </c>
      <c r="B4208">
        <f>3989.42767196702*(3/4)</f>
        <v>2992.070753975263</v>
      </c>
    </row>
    <row r="4209" spans="1:2" x14ac:dyDescent="0.3">
      <c r="A4209" s="2">
        <v>45833.291666666657</v>
      </c>
      <c r="B4209">
        <f>4499.14633757752*(3/4)</f>
        <v>3374.359753183141</v>
      </c>
    </row>
    <row r="4210" spans="1:2" x14ac:dyDescent="0.3">
      <c r="A4210" s="2">
        <v>45833.333333333343</v>
      </c>
      <c r="B4210">
        <f>4323.43991835958*(3/4)</f>
        <v>3242.5799387696852</v>
      </c>
    </row>
    <row r="4211" spans="1:2" x14ac:dyDescent="0.3">
      <c r="A4211" s="2">
        <v>45833.375</v>
      </c>
      <c r="B4211">
        <f>4397.00639273666*(3/4)</f>
        <v>3297.7547945524966</v>
      </c>
    </row>
    <row r="4212" spans="1:2" x14ac:dyDescent="0.3">
      <c r="A4212" s="2">
        <v>45833.416666666657</v>
      </c>
      <c r="B4212">
        <f>4166.96789648813*(3/4)</f>
        <v>3125.225922366094</v>
      </c>
    </row>
    <row r="4213" spans="1:2" x14ac:dyDescent="0.3">
      <c r="A4213" s="2">
        <v>45833.458333333343</v>
      </c>
      <c r="B4213">
        <f>4370.85561179944*(3/4)</f>
        <v>3278.1417088495768</v>
      </c>
    </row>
    <row r="4214" spans="1:2" x14ac:dyDescent="0.3">
      <c r="A4214" s="2">
        <v>45833.5</v>
      </c>
      <c r="B4214">
        <f>4384.08509955938*(3/4)</f>
        <v>3288.0638246695362</v>
      </c>
    </row>
    <row r="4215" spans="1:2" x14ac:dyDescent="0.3">
      <c r="A4215" s="2">
        <v>45833.541666666657</v>
      </c>
      <c r="B4215">
        <f>4345.69286221741*(3/4)</f>
        <v>3259.2696466630587</v>
      </c>
    </row>
    <row r="4216" spans="1:2" x14ac:dyDescent="0.3">
      <c r="A4216" s="2">
        <v>45833.583333333343</v>
      </c>
      <c r="B4216">
        <f>3948.50376631929*(3/4)</f>
        <v>2961.3778247394675</v>
      </c>
    </row>
    <row r="4217" spans="1:2" x14ac:dyDescent="0.3">
      <c r="A4217" s="2">
        <v>45833.625</v>
      </c>
      <c r="B4217">
        <f>4232.59842625952*(3/4)</f>
        <v>3174.4488196946431</v>
      </c>
    </row>
    <row r="4218" spans="1:2" x14ac:dyDescent="0.3">
      <c r="A4218" s="2">
        <v>45833.666666666657</v>
      </c>
      <c r="B4218">
        <f>4196.57706333591*(3/4)</f>
        <v>3147.4327975019305</v>
      </c>
    </row>
    <row r="4219" spans="1:2" x14ac:dyDescent="0.3">
      <c r="A4219" s="2">
        <v>45833.708333333343</v>
      </c>
      <c r="B4219">
        <f>4465.94086825874*(3/4)</f>
        <v>3349.4556511940582</v>
      </c>
    </row>
    <row r="4220" spans="1:2" x14ac:dyDescent="0.3">
      <c r="A4220" s="2">
        <v>45833.75</v>
      </c>
      <c r="B4220">
        <f>4192.26605722515*(3/4)</f>
        <v>3144.1995429188651</v>
      </c>
    </row>
    <row r="4221" spans="1:2" x14ac:dyDescent="0.3">
      <c r="A4221" s="2">
        <v>45833.791666666657</v>
      </c>
      <c r="B4221">
        <f>4167.04973926666*(3/4)</f>
        <v>3125.2873044499975</v>
      </c>
    </row>
    <row r="4222" spans="1:2" x14ac:dyDescent="0.3">
      <c r="A4222" s="2">
        <v>45833.833333333343</v>
      </c>
      <c r="B4222">
        <f>4153.22379781979*(3/4)</f>
        <v>3114.9178483648429</v>
      </c>
    </row>
    <row r="4223" spans="1:2" x14ac:dyDescent="0.3">
      <c r="A4223" s="2">
        <v>45833.875</v>
      </c>
      <c r="B4223">
        <f>4028.0882355602*(3/4)</f>
        <v>3021.0661766701523</v>
      </c>
    </row>
    <row r="4224" spans="1:2" x14ac:dyDescent="0.3">
      <c r="A4224" s="2">
        <v>45833.916666666657</v>
      </c>
      <c r="B4224">
        <f>3830.85909831802*(3/4)</f>
        <v>2873.1443237385133</v>
      </c>
    </row>
    <row r="4225" spans="1:2" x14ac:dyDescent="0.3">
      <c r="A4225" s="2">
        <v>45833.958333333343</v>
      </c>
      <c r="B4225">
        <f>4074.53710292696*(3/4)</f>
        <v>3055.9028271952193</v>
      </c>
    </row>
    <row r="4226" spans="1:2" x14ac:dyDescent="0.3">
      <c r="A4226" s="2">
        <v>45834</v>
      </c>
      <c r="B4226">
        <f>4329.97201243714*(3/4)</f>
        <v>3247.4790093278534</v>
      </c>
    </row>
    <row r="4227" spans="1:2" x14ac:dyDescent="0.3">
      <c r="A4227" s="2">
        <v>45834.041666666657</v>
      </c>
      <c r="B4227">
        <f>4202.63292032778*(3/4)</f>
        <v>3151.9746902458337</v>
      </c>
    </row>
    <row r="4228" spans="1:2" x14ac:dyDescent="0.3">
      <c r="A4228" s="2">
        <v>45834.083333333343</v>
      </c>
      <c r="B4228">
        <f>4306.92258553487*(3/4)</f>
        <v>3230.1919391511542</v>
      </c>
    </row>
    <row r="4229" spans="1:2" x14ac:dyDescent="0.3">
      <c r="A4229" s="2">
        <v>45834.125</v>
      </c>
      <c r="B4229">
        <f>3784.93087126303*(3/4)</f>
        <v>2838.6981534472734</v>
      </c>
    </row>
    <row r="4230" spans="1:2" x14ac:dyDescent="0.3">
      <c r="A4230" s="2">
        <v>45834.166666666657</v>
      </c>
      <c r="B4230">
        <f>4197.05978385873*(3/4)</f>
        <v>3147.79483789405</v>
      </c>
    </row>
    <row r="4231" spans="1:2" x14ac:dyDescent="0.3">
      <c r="A4231" s="2">
        <v>45834.208333333343</v>
      </c>
      <c r="B4231">
        <f>4165.2719228483*(3/4)</f>
        <v>3123.9539421362279</v>
      </c>
    </row>
    <row r="4232" spans="1:2" x14ac:dyDescent="0.3">
      <c r="A4232" s="2">
        <v>45834.25</v>
      </c>
      <c r="B4232">
        <f>3998.7249609703*(3/4)</f>
        <v>2999.0437207277218</v>
      </c>
    </row>
    <row r="4233" spans="1:2" x14ac:dyDescent="0.3">
      <c r="A4233" s="2">
        <v>45834.291666666657</v>
      </c>
      <c r="B4233">
        <f>4227.213363351*(3/4)</f>
        <v>3170.4100225132502</v>
      </c>
    </row>
    <row r="4234" spans="1:2" x14ac:dyDescent="0.3">
      <c r="A4234" s="2">
        <v>45834.333333333343</v>
      </c>
      <c r="B4234">
        <f>4572.01966110534*(3/4)</f>
        <v>3429.0147458290057</v>
      </c>
    </row>
    <row r="4235" spans="1:2" x14ac:dyDescent="0.3">
      <c r="A4235" s="2">
        <v>45834.375</v>
      </c>
      <c r="B4235">
        <f>4006.75354303069*(3/4)</f>
        <v>3005.0651572730167</v>
      </c>
    </row>
    <row r="4236" spans="1:2" x14ac:dyDescent="0.3">
      <c r="A4236" s="2">
        <v>45834.416666666657</v>
      </c>
      <c r="B4236">
        <f>4191.8796496931*(3/4)</f>
        <v>3143.9097372698234</v>
      </c>
    </row>
    <row r="4237" spans="1:2" x14ac:dyDescent="0.3">
      <c r="A4237" s="2">
        <v>45834.458333333343</v>
      </c>
      <c r="B4237">
        <f>4279.98644794374*(3/4)</f>
        <v>3209.9898359578078</v>
      </c>
    </row>
    <row r="4238" spans="1:2" x14ac:dyDescent="0.3">
      <c r="A4238" s="2">
        <v>45834.5</v>
      </c>
      <c r="B4238">
        <f>4502.02736484233*(3/4)</f>
        <v>3376.5205236317502</v>
      </c>
    </row>
    <row r="4239" spans="1:2" x14ac:dyDescent="0.3">
      <c r="A4239" s="2">
        <v>45834.541666666657</v>
      </c>
      <c r="B4239">
        <f>4162.69527172119*(3/4)</f>
        <v>3122.0214537908914</v>
      </c>
    </row>
    <row r="4240" spans="1:2" x14ac:dyDescent="0.3">
      <c r="A4240" s="2">
        <v>45834.583333333343</v>
      </c>
      <c r="B4240">
        <f>3864.28763904281*(3/4)</f>
        <v>2898.2157292821043</v>
      </c>
    </row>
    <row r="4241" spans="1:2" x14ac:dyDescent="0.3">
      <c r="A4241" s="2">
        <v>45834.625</v>
      </c>
      <c r="B4241">
        <f>3980.84233897632*(3/4)</f>
        <v>2985.6317542322413</v>
      </c>
    </row>
    <row r="4242" spans="1:2" x14ac:dyDescent="0.3">
      <c r="A4242" s="2">
        <v>45834.666666666657</v>
      </c>
      <c r="B4242">
        <f>4378.6116916298*(3/4)</f>
        <v>3283.958768722352</v>
      </c>
    </row>
    <row r="4243" spans="1:2" x14ac:dyDescent="0.3">
      <c r="A4243" s="2">
        <v>45834.708333333343</v>
      </c>
      <c r="B4243">
        <f>4215.58301461205*(3/4)</f>
        <v>3161.6872609590387</v>
      </c>
    </row>
    <row r="4244" spans="1:2" x14ac:dyDescent="0.3">
      <c r="A4244" s="2">
        <v>45834.75</v>
      </c>
      <c r="B4244">
        <f>4029.08598066971*(3/4)</f>
        <v>3021.8144855022842</v>
      </c>
    </row>
    <row r="4245" spans="1:2" x14ac:dyDescent="0.3">
      <c r="A4245" s="2">
        <v>45834.791666666657</v>
      </c>
      <c r="B4245">
        <f>4522.26995120625*(3/4)</f>
        <v>3391.7024634046861</v>
      </c>
    </row>
    <row r="4246" spans="1:2" x14ac:dyDescent="0.3">
      <c r="A4246" s="2">
        <v>45834.833333333343</v>
      </c>
      <c r="B4246">
        <f>4417.4017922603*(3/4)</f>
        <v>3313.0513441952276</v>
      </c>
    </row>
    <row r="4247" spans="1:2" x14ac:dyDescent="0.3">
      <c r="A4247" s="2">
        <v>45834.875</v>
      </c>
      <c r="B4247">
        <f>4126.59615688365*(3/4)</f>
        <v>3094.9471176627389</v>
      </c>
    </row>
    <row r="4248" spans="1:2" x14ac:dyDescent="0.3">
      <c r="A4248" s="2">
        <v>45834.916666666657</v>
      </c>
      <c r="B4248">
        <f>4089.03375502841*(3/4)</f>
        <v>3066.7753162713111</v>
      </c>
    </row>
    <row r="4249" spans="1:2" x14ac:dyDescent="0.3">
      <c r="A4249" s="2">
        <v>45834.958333333343</v>
      </c>
      <c r="B4249">
        <f>4243.16559397603*(3/4)</f>
        <v>3182.3741954820252</v>
      </c>
    </row>
    <row r="4250" spans="1:2" x14ac:dyDescent="0.3">
      <c r="A4250" s="2">
        <v>45835</v>
      </c>
      <c r="B4250">
        <f>3817.93759329328*(3/4)</f>
        <v>2863.4531949699585</v>
      </c>
    </row>
    <row r="4251" spans="1:2" x14ac:dyDescent="0.3">
      <c r="A4251" s="2">
        <v>45835.041666666657</v>
      </c>
      <c r="B4251">
        <f>4158.35712046553*(3/4)</f>
        <v>3118.7678403491454</v>
      </c>
    </row>
    <row r="4252" spans="1:2" x14ac:dyDescent="0.3">
      <c r="A4252" s="2">
        <v>45835.083333333343</v>
      </c>
      <c r="B4252">
        <f>4073.74137342368*(3/4)</f>
        <v>3055.306030067758</v>
      </c>
    </row>
    <row r="4253" spans="1:2" x14ac:dyDescent="0.3">
      <c r="A4253" s="2">
        <v>45835.125</v>
      </c>
      <c r="B4253">
        <f>4002.36284805902*(3/4)</f>
        <v>3001.7721360442665</v>
      </c>
    </row>
    <row r="4254" spans="1:2" x14ac:dyDescent="0.3">
      <c r="A4254" s="2">
        <v>45835.166666666657</v>
      </c>
      <c r="B4254">
        <f>4325.97201084942*(3/4)</f>
        <v>3244.4790081370684</v>
      </c>
    </row>
    <row r="4255" spans="1:2" x14ac:dyDescent="0.3">
      <c r="A4255" s="2">
        <v>45835.208333333343</v>
      </c>
      <c r="B4255">
        <f>4046.2728124294*(3/4)</f>
        <v>3034.7046093220538</v>
      </c>
    </row>
    <row r="4256" spans="1:2" x14ac:dyDescent="0.3">
      <c r="A4256" s="2">
        <v>45835.25</v>
      </c>
      <c r="B4256">
        <f>4092.93885162499*(3/4)</f>
        <v>3069.704138718741</v>
      </c>
    </row>
    <row r="4257" spans="1:2" x14ac:dyDescent="0.3">
      <c r="A4257" s="2">
        <v>45835.291666666657</v>
      </c>
      <c r="B4257">
        <f>4453.10761406953*(3/4)</f>
        <v>3339.8307105521499</v>
      </c>
    </row>
    <row r="4258" spans="1:2" x14ac:dyDescent="0.3">
      <c r="A4258" s="2">
        <v>45835.333333333343</v>
      </c>
      <c r="B4258">
        <f>4328.69691611587*(3/4)</f>
        <v>3246.5226870869064</v>
      </c>
    </row>
    <row r="4259" spans="1:2" x14ac:dyDescent="0.3">
      <c r="A4259" s="2">
        <v>45835.375</v>
      </c>
      <c r="B4259">
        <f>4464.77474038785*(3/4)</f>
        <v>3348.5810552908843</v>
      </c>
    </row>
    <row r="4260" spans="1:2" x14ac:dyDescent="0.3">
      <c r="A4260" s="2">
        <v>45835.416666666657</v>
      </c>
      <c r="B4260">
        <f>4038.19146285905*(3/4)</f>
        <v>3028.6435971442861</v>
      </c>
    </row>
    <row r="4261" spans="1:2" x14ac:dyDescent="0.3">
      <c r="A4261" s="2">
        <v>45835.458333333343</v>
      </c>
      <c r="B4261">
        <f>4160.43242037992*(3/4)</f>
        <v>3120.3243152849404</v>
      </c>
    </row>
    <row r="4262" spans="1:2" x14ac:dyDescent="0.3">
      <c r="A4262" s="2">
        <v>45835.5</v>
      </c>
      <c r="B4262">
        <f>4665.96944885504*(3/4)</f>
        <v>3499.4770866412769</v>
      </c>
    </row>
    <row r="4263" spans="1:2" x14ac:dyDescent="0.3">
      <c r="A4263" s="2">
        <v>45835.541666666657</v>
      </c>
      <c r="B4263">
        <f>4513.27181727314*(3/4)</f>
        <v>3384.9538629548542</v>
      </c>
    </row>
    <row r="4264" spans="1:2" x14ac:dyDescent="0.3">
      <c r="A4264" s="2">
        <v>45835.583333333343</v>
      </c>
      <c r="B4264">
        <f>3870.59446344836*(3/4)</f>
        <v>2902.9458475862666</v>
      </c>
    </row>
    <row r="4265" spans="1:2" x14ac:dyDescent="0.3">
      <c r="A4265" s="2">
        <v>45835.625</v>
      </c>
      <c r="B4265">
        <f>4434.54554262085*(3/4)</f>
        <v>3325.9091569656348</v>
      </c>
    </row>
    <row r="4266" spans="1:2" x14ac:dyDescent="0.3">
      <c r="A4266" s="2">
        <v>45835.666666666657</v>
      </c>
      <c r="B4266">
        <f>4534.37506624214*(3/4)</f>
        <v>3400.7812996816056</v>
      </c>
    </row>
    <row r="4267" spans="1:2" x14ac:dyDescent="0.3">
      <c r="A4267" s="2">
        <v>45835.708333333343</v>
      </c>
      <c r="B4267">
        <f>4499.56131128035*(3/4)</f>
        <v>3374.6709834602598</v>
      </c>
    </row>
    <row r="4268" spans="1:2" x14ac:dyDescent="0.3">
      <c r="A4268" s="2">
        <v>45835.75</v>
      </c>
      <c r="B4268">
        <f>4103.30223297897*(3/4)</f>
        <v>3077.4766747342255</v>
      </c>
    </row>
    <row r="4269" spans="1:2" x14ac:dyDescent="0.3">
      <c r="A4269" s="2">
        <v>45835.791666666657</v>
      </c>
      <c r="B4269">
        <f>4297.83779228411*(3/4)</f>
        <v>3223.3783442130834</v>
      </c>
    </row>
    <row r="4270" spans="1:2" x14ac:dyDescent="0.3">
      <c r="A4270" s="2">
        <v>45835.833333333343</v>
      </c>
      <c r="B4270">
        <f>4140.84924487686*(3/4)</f>
        <v>3105.6369336576486</v>
      </c>
    </row>
    <row r="4271" spans="1:2" x14ac:dyDescent="0.3">
      <c r="A4271" s="2">
        <v>45835.875</v>
      </c>
      <c r="B4271">
        <f>4171.977066746*(3/4)</f>
        <v>3128.9828000595007</v>
      </c>
    </row>
    <row r="4272" spans="1:2" x14ac:dyDescent="0.3">
      <c r="A4272" s="2">
        <v>45835.916666666657</v>
      </c>
      <c r="B4272">
        <f>4190.04058523145*(3/4)</f>
        <v>3142.5304389235844</v>
      </c>
    </row>
    <row r="4273" spans="1:2" x14ac:dyDescent="0.3">
      <c r="A4273" s="2">
        <v>45835.958333333343</v>
      </c>
      <c r="B4273">
        <f>4084.4940773561*(3/4)</f>
        <v>3063.3705580170763</v>
      </c>
    </row>
    <row r="4274" spans="1:2" x14ac:dyDescent="0.3">
      <c r="A4274" s="2">
        <v>45836</v>
      </c>
      <c r="B4274">
        <f>4159.30799411235*(3/4)</f>
        <v>3119.4809955842616</v>
      </c>
    </row>
    <row r="4275" spans="1:2" x14ac:dyDescent="0.3">
      <c r="A4275" s="2">
        <v>45836.041666666657</v>
      </c>
      <c r="B4275">
        <f>4025.33167382136*(3/4)</f>
        <v>3018.9987553660185</v>
      </c>
    </row>
    <row r="4276" spans="1:2" x14ac:dyDescent="0.3">
      <c r="A4276" s="2">
        <v>45836.083333333343</v>
      </c>
      <c r="B4276">
        <f>4276.63761801174*(3/4)</f>
        <v>3207.4782135088089</v>
      </c>
    </row>
    <row r="4277" spans="1:2" x14ac:dyDescent="0.3">
      <c r="A4277" s="2">
        <v>45836.125</v>
      </c>
      <c r="B4277">
        <f>4210.32507484013*(3/4)</f>
        <v>3157.7438061300982</v>
      </c>
    </row>
    <row r="4278" spans="1:2" x14ac:dyDescent="0.3">
      <c r="A4278" s="2">
        <v>45836.166666666657</v>
      </c>
      <c r="B4278">
        <f>3931.60818289206*(3/4)</f>
        <v>2948.7061371690452</v>
      </c>
    </row>
    <row r="4279" spans="1:2" x14ac:dyDescent="0.3">
      <c r="A4279" s="2">
        <v>45836.208333333343</v>
      </c>
      <c r="B4279">
        <f>4240.41037820279*(3/4)</f>
        <v>3180.3077836520915</v>
      </c>
    </row>
    <row r="4280" spans="1:2" x14ac:dyDescent="0.3">
      <c r="A4280" s="2">
        <v>45836.25</v>
      </c>
      <c r="B4280">
        <f>3713.80913040064*(3/4)</f>
        <v>2785.35684780048</v>
      </c>
    </row>
    <row r="4281" spans="1:2" x14ac:dyDescent="0.3">
      <c r="A4281" s="2">
        <v>45836.291666666657</v>
      </c>
      <c r="B4281">
        <f>4145.56893663308*(3/4)</f>
        <v>3109.1767024748106</v>
      </c>
    </row>
    <row r="4282" spans="1:2" x14ac:dyDescent="0.3">
      <c r="A4282" s="2">
        <v>45836.333333333343</v>
      </c>
      <c r="B4282">
        <f>4316.0246945097*(3/4)</f>
        <v>3237.0185208822727</v>
      </c>
    </row>
    <row r="4283" spans="1:2" x14ac:dyDescent="0.3">
      <c r="A4283" s="2">
        <v>45836.375</v>
      </c>
      <c r="B4283">
        <f>4047.2680368859*(3/4)</f>
        <v>3035.4510276644214</v>
      </c>
    </row>
    <row r="4284" spans="1:2" x14ac:dyDescent="0.3">
      <c r="A4284" s="2">
        <v>45836.416666666657</v>
      </c>
      <c r="B4284">
        <f>4133.34787330387*(3/4)</f>
        <v>3100.0109049779021</v>
      </c>
    </row>
    <row r="4285" spans="1:2" x14ac:dyDescent="0.3">
      <c r="A4285" s="2">
        <v>45836.458333333343</v>
      </c>
      <c r="B4285">
        <f>4367.96041244055*(3/4)</f>
        <v>3275.9703093304106</v>
      </c>
    </row>
    <row r="4286" spans="1:2" x14ac:dyDescent="0.3">
      <c r="A4286" s="2">
        <v>45836.5</v>
      </c>
      <c r="B4286">
        <f>4074.27352860592*(3/4)</f>
        <v>3055.705146454442</v>
      </c>
    </row>
    <row r="4287" spans="1:2" x14ac:dyDescent="0.3">
      <c r="A4287" s="2">
        <v>45836.541666666657</v>
      </c>
      <c r="B4287">
        <f>4256.21839972623*(3/4)</f>
        <v>3192.1637997946705</v>
      </c>
    </row>
    <row r="4288" spans="1:2" x14ac:dyDescent="0.3">
      <c r="A4288" s="2">
        <v>45836.583333333343</v>
      </c>
      <c r="B4288">
        <f>3948.56103095183*(3/4)</f>
        <v>2961.4207732138693</v>
      </c>
    </row>
    <row r="4289" spans="1:2" x14ac:dyDescent="0.3">
      <c r="A4289" s="2">
        <v>45836.625</v>
      </c>
      <c r="B4289">
        <f>4422.12768639095*(3/4)</f>
        <v>3316.59576479321</v>
      </c>
    </row>
    <row r="4290" spans="1:2" x14ac:dyDescent="0.3">
      <c r="A4290" s="2">
        <v>45836.666666666657</v>
      </c>
      <c r="B4290">
        <f>4438.65063256618*(3/4)</f>
        <v>3328.9879744246364</v>
      </c>
    </row>
    <row r="4291" spans="1:2" x14ac:dyDescent="0.3">
      <c r="A4291" s="2">
        <v>45836.708333333343</v>
      </c>
      <c r="B4291">
        <f>4048.04765153093*(3/4)</f>
        <v>3036.0357386482005</v>
      </c>
    </row>
    <row r="4292" spans="1:2" x14ac:dyDescent="0.3">
      <c r="A4292" s="2">
        <v>45836.75</v>
      </c>
      <c r="B4292">
        <f>4152.8796285525*(3/4)</f>
        <v>3114.6597214143785</v>
      </c>
    </row>
    <row r="4293" spans="1:2" x14ac:dyDescent="0.3">
      <c r="A4293" s="2">
        <v>45836.791666666657</v>
      </c>
      <c r="B4293">
        <f>4201.4849535512*(3/4)</f>
        <v>3151.1137151633966</v>
      </c>
    </row>
    <row r="4294" spans="1:2" x14ac:dyDescent="0.3">
      <c r="A4294" s="2">
        <v>45836.833333333343</v>
      </c>
      <c r="B4294">
        <f>4247.96307562453*(3/4)</f>
        <v>3185.9723067183995</v>
      </c>
    </row>
    <row r="4295" spans="1:2" x14ac:dyDescent="0.3">
      <c r="A4295" s="2">
        <v>45836.875</v>
      </c>
      <c r="B4295">
        <f>4506.11404155675*(3/4)</f>
        <v>3379.5855311675641</v>
      </c>
    </row>
    <row r="4296" spans="1:2" x14ac:dyDescent="0.3">
      <c r="A4296" s="2">
        <v>45836.916666666657</v>
      </c>
      <c r="B4296">
        <f>3776.80790083504*(3/4)</f>
        <v>2832.6059256262815</v>
      </c>
    </row>
    <row r="4297" spans="1:2" x14ac:dyDescent="0.3">
      <c r="A4297" s="2">
        <v>45836.958333333343</v>
      </c>
      <c r="B4297">
        <f>4039.38111043606*(3/4)</f>
        <v>3029.5358328270472</v>
      </c>
    </row>
    <row r="4298" spans="1:2" x14ac:dyDescent="0.3">
      <c r="A4298" s="2">
        <v>45837</v>
      </c>
      <c r="B4298">
        <f>4004.61510174878*(3/4)</f>
        <v>3003.4613263115834</v>
      </c>
    </row>
    <row r="4299" spans="1:2" x14ac:dyDescent="0.3">
      <c r="A4299" s="2">
        <v>45837.041666666657</v>
      </c>
      <c r="B4299">
        <f>3992.1979113078*(3/4)</f>
        <v>2994.1484334808524</v>
      </c>
    </row>
    <row r="4300" spans="1:2" x14ac:dyDescent="0.3">
      <c r="A4300" s="2">
        <v>45837.083333333343</v>
      </c>
      <c r="B4300">
        <f>4123.45714273847*(3/4)</f>
        <v>3092.5928570538526</v>
      </c>
    </row>
    <row r="4301" spans="1:2" x14ac:dyDescent="0.3">
      <c r="A4301" s="2">
        <v>45837.125</v>
      </c>
      <c r="B4301">
        <f>4009.65894494332*(3/4)</f>
        <v>3007.2442087074937</v>
      </c>
    </row>
    <row r="4302" spans="1:2" x14ac:dyDescent="0.3">
      <c r="A4302" s="2">
        <v>45837.166666666657</v>
      </c>
      <c r="B4302">
        <f>4122.70846203882*(3/4)</f>
        <v>3092.0313465291138</v>
      </c>
    </row>
    <row r="4303" spans="1:2" x14ac:dyDescent="0.3">
      <c r="A4303" s="2">
        <v>45837.208333333343</v>
      </c>
      <c r="B4303">
        <f>4114.2958109332*(3/4)</f>
        <v>3085.7218581998995</v>
      </c>
    </row>
    <row r="4304" spans="1:2" x14ac:dyDescent="0.3">
      <c r="A4304" s="2">
        <v>45837.25</v>
      </c>
      <c r="B4304">
        <f>3807.67362593605*(3/4)</f>
        <v>2855.7552194520349</v>
      </c>
    </row>
    <row r="4305" spans="1:2" x14ac:dyDescent="0.3">
      <c r="A4305" s="2">
        <v>45837.291666666657</v>
      </c>
      <c r="B4305">
        <f>4360.75855531935*(3/4)</f>
        <v>3270.5689164895161</v>
      </c>
    </row>
    <row r="4306" spans="1:2" x14ac:dyDescent="0.3">
      <c r="A4306" s="2">
        <v>45837.333333333343</v>
      </c>
      <c r="B4306">
        <f>3093.68057917746*(3/4)</f>
        <v>2320.2604343830949</v>
      </c>
    </row>
    <row r="4307" spans="1:2" x14ac:dyDescent="0.3">
      <c r="A4307" s="2">
        <v>45837.375</v>
      </c>
      <c r="B4307">
        <f>3321.66495183963*(3/4)</f>
        <v>2491.2487138797214</v>
      </c>
    </row>
    <row r="4308" spans="1:2" x14ac:dyDescent="0.3">
      <c r="A4308" s="2">
        <v>45837.416666666657</v>
      </c>
      <c r="B4308">
        <f>3276.00152244537*(3/4)</f>
        <v>2457.0011418340273</v>
      </c>
    </row>
    <row r="4309" spans="1:2" x14ac:dyDescent="0.3">
      <c r="A4309" s="2">
        <v>45837.458333333343</v>
      </c>
      <c r="B4309">
        <f>3469.16989305951*(3/4)</f>
        <v>2601.8774197946295</v>
      </c>
    </row>
    <row r="4310" spans="1:2" x14ac:dyDescent="0.3">
      <c r="A4310" s="2">
        <v>45837.5</v>
      </c>
      <c r="B4310">
        <f>3695.42668571119*(3/4)</f>
        <v>2771.5700142833912</v>
      </c>
    </row>
    <row r="4311" spans="1:2" x14ac:dyDescent="0.3">
      <c r="A4311" s="2">
        <v>45837.541666666657</v>
      </c>
      <c r="B4311">
        <f>3479.72395492262*(3/4)</f>
        <v>2609.7929661919679</v>
      </c>
    </row>
    <row r="4312" spans="1:2" x14ac:dyDescent="0.3">
      <c r="A4312" s="2">
        <v>45837.583333333343</v>
      </c>
      <c r="B4312">
        <f>3099.84677519583*(3/4)</f>
        <v>2324.8850813968734</v>
      </c>
    </row>
    <row r="4313" spans="1:2" x14ac:dyDescent="0.3">
      <c r="A4313" s="2">
        <v>45837.625</v>
      </c>
      <c r="B4313">
        <f>3462.80486330516*(3/4)</f>
        <v>2597.1036474788707</v>
      </c>
    </row>
    <row r="4314" spans="1:2" x14ac:dyDescent="0.3">
      <c r="A4314" s="2">
        <v>45837.666666666657</v>
      </c>
      <c r="B4314">
        <f>2970.96441522533*(3/4)</f>
        <v>2228.2233114189944</v>
      </c>
    </row>
    <row r="4315" spans="1:2" x14ac:dyDescent="0.3">
      <c r="A4315" s="2">
        <v>45837.708333333343</v>
      </c>
      <c r="B4315">
        <f>4308.17551902484*(3/4)</f>
        <v>3231.1316392686263</v>
      </c>
    </row>
    <row r="4316" spans="1:2" x14ac:dyDescent="0.3">
      <c r="A4316" s="2">
        <v>45837.75</v>
      </c>
      <c r="B4316">
        <f>4295.43756991571*(3/4)</f>
        <v>3221.5781774367815</v>
      </c>
    </row>
    <row r="4317" spans="1:2" x14ac:dyDescent="0.3">
      <c r="A4317" s="2">
        <v>45837.791666666657</v>
      </c>
      <c r="B4317">
        <f>4198.95200855471*(3/4)</f>
        <v>3149.2140064160326</v>
      </c>
    </row>
    <row r="4318" spans="1:2" x14ac:dyDescent="0.3">
      <c r="A4318" s="2">
        <v>45837.833333333343</v>
      </c>
      <c r="B4318">
        <f>4392.39863204214*(3/4)</f>
        <v>3294.2989740316025</v>
      </c>
    </row>
    <row r="4319" spans="1:2" x14ac:dyDescent="0.3">
      <c r="A4319" s="2">
        <v>45837.875</v>
      </c>
      <c r="B4319">
        <f>4322.26847183562*(3/4)</f>
        <v>3241.7013538767142</v>
      </c>
    </row>
    <row r="4320" spans="1:2" x14ac:dyDescent="0.3">
      <c r="A4320" s="2">
        <v>45837.916666666657</v>
      </c>
      <c r="B4320">
        <f>3785.83396280403*(3/4)</f>
        <v>2839.3754721030236</v>
      </c>
    </row>
    <row r="4321" spans="1:2" x14ac:dyDescent="0.3">
      <c r="A4321" s="2">
        <v>45837.958333333343</v>
      </c>
      <c r="B4321">
        <f>4002.58119253373*(3/4)</f>
        <v>3001.9358944003011</v>
      </c>
    </row>
    <row r="4322" spans="1:2" x14ac:dyDescent="0.3">
      <c r="A4322" s="2">
        <v>45838</v>
      </c>
      <c r="B4322">
        <f>4317.25784482094*(3/4)</f>
        <v>3237.9433836157014</v>
      </c>
    </row>
    <row r="4323" spans="1:2" x14ac:dyDescent="0.3">
      <c r="A4323" s="2">
        <v>45838.041666666657</v>
      </c>
      <c r="B4323">
        <f>3966.16799587744*(3/4)</f>
        <v>2974.6259969080829</v>
      </c>
    </row>
    <row r="4324" spans="1:2" x14ac:dyDescent="0.3">
      <c r="A4324" s="2">
        <v>45838.083333333343</v>
      </c>
      <c r="B4324">
        <f>4140.86241792532*(3/4)</f>
        <v>3105.6468134439915</v>
      </c>
    </row>
    <row r="4325" spans="1:2" x14ac:dyDescent="0.3">
      <c r="A4325" s="2">
        <v>45838.125</v>
      </c>
      <c r="B4325">
        <f>4368.31625763263*(3/4)</f>
        <v>3276.2371932244755</v>
      </c>
    </row>
    <row r="4326" spans="1:2" x14ac:dyDescent="0.3">
      <c r="A4326" s="2">
        <v>45838.166666666657</v>
      </c>
      <c r="B4326">
        <f>3964.32778244271*(3/4)</f>
        <v>2973.2458368320285</v>
      </c>
    </row>
    <row r="4327" spans="1:2" x14ac:dyDescent="0.3">
      <c r="A4327" s="2">
        <v>45838.208333333343</v>
      </c>
      <c r="B4327">
        <f>4085.2921647916*(3/4)</f>
        <v>3063.9691235936994</v>
      </c>
    </row>
    <row r="4328" spans="1:2" x14ac:dyDescent="0.3">
      <c r="A4328" s="2">
        <v>45838.25</v>
      </c>
      <c r="B4328">
        <f>3980.71177947095*(3/4)</f>
        <v>2985.5338346032127</v>
      </c>
    </row>
    <row r="4329" spans="1:2" x14ac:dyDescent="0.3">
      <c r="A4329" s="2">
        <v>45838.291666666657</v>
      </c>
      <c r="B4329">
        <f>4207.97533466931*(3/4)</f>
        <v>3155.9815010019811</v>
      </c>
    </row>
    <row r="4330" spans="1:2" x14ac:dyDescent="0.3">
      <c r="A4330" s="2">
        <v>45838.333333333343</v>
      </c>
      <c r="B4330">
        <f>4540.51901678664*(3/4)</f>
        <v>3405.3892625899803</v>
      </c>
    </row>
    <row r="4331" spans="1:2" x14ac:dyDescent="0.3">
      <c r="A4331" s="2">
        <v>45838.375</v>
      </c>
      <c r="B4331">
        <f>4383.07599962354*(3/4)</f>
        <v>3287.3069997176517</v>
      </c>
    </row>
    <row r="4332" spans="1:2" x14ac:dyDescent="0.3">
      <c r="A4332" s="2">
        <v>45838.416666666657</v>
      </c>
      <c r="B4332">
        <f>4177.78517921008*(3/4)</f>
        <v>3133.3388844075571</v>
      </c>
    </row>
    <row r="4333" spans="1:2" x14ac:dyDescent="0.3">
      <c r="A4333" s="2">
        <v>45838.458333333343</v>
      </c>
      <c r="B4333">
        <f>4053.52443378447*(3/4)</f>
        <v>3040.1433253383516</v>
      </c>
    </row>
    <row r="4334" spans="1:2" x14ac:dyDescent="0.3">
      <c r="A4334" s="2">
        <v>45838.5</v>
      </c>
      <c r="B4334">
        <f>4382.17459813034*(3/4)</f>
        <v>3286.6309485977554</v>
      </c>
    </row>
    <row r="4335" spans="1:2" x14ac:dyDescent="0.3">
      <c r="A4335" s="2">
        <v>45838.541666666657</v>
      </c>
      <c r="B4335">
        <f>4180.45269344351*(3/4)</f>
        <v>3135.3395200826353</v>
      </c>
    </row>
    <row r="4336" spans="1:2" x14ac:dyDescent="0.3">
      <c r="A4336" s="2">
        <v>45838.583333333343</v>
      </c>
      <c r="B4336">
        <f>4236.65848888541*(3/4)</f>
        <v>3177.4938666640564</v>
      </c>
    </row>
    <row r="4337" spans="1:2" x14ac:dyDescent="0.3">
      <c r="A4337" s="2">
        <v>45838.625</v>
      </c>
      <c r="B4337">
        <f>3968.40995845377*(3/4)</f>
        <v>2976.3074688403312</v>
      </c>
    </row>
    <row r="4338" spans="1:2" x14ac:dyDescent="0.3">
      <c r="A4338" s="2">
        <v>45838.666666666657</v>
      </c>
      <c r="B4338">
        <f>3911.47095349557*(3/4)</f>
        <v>2933.6032151216805</v>
      </c>
    </row>
    <row r="4339" spans="1:2" x14ac:dyDescent="0.3">
      <c r="A4339" s="2">
        <v>45838.708333333343</v>
      </c>
      <c r="B4339">
        <f>4343.66884667692*(3/4)</f>
        <v>3257.7516350076921</v>
      </c>
    </row>
    <row r="4340" spans="1:2" x14ac:dyDescent="0.3">
      <c r="A4340" s="2">
        <v>45838.75</v>
      </c>
      <c r="B4340">
        <f>4240.02907172955*(3/4)</f>
        <v>3180.0218037971654</v>
      </c>
    </row>
    <row r="4341" spans="1:2" x14ac:dyDescent="0.3">
      <c r="A4341" s="2">
        <v>45838.791666666657</v>
      </c>
      <c r="B4341">
        <f>4198.89390023767*(3/4)</f>
        <v>3149.1704251782521</v>
      </c>
    </row>
    <row r="4342" spans="1:2" x14ac:dyDescent="0.3">
      <c r="A4342" s="2">
        <v>45838.833333333343</v>
      </c>
      <c r="B4342">
        <f>4476.93893313825*(3/4)</f>
        <v>3357.7041998536843</v>
      </c>
    </row>
    <row r="4343" spans="1:2" x14ac:dyDescent="0.3">
      <c r="A4343" s="2">
        <v>45838.875</v>
      </c>
      <c r="B4343">
        <f>4296.41322573629*(3/4)</f>
        <v>3222.3099193022208</v>
      </c>
    </row>
    <row r="4344" spans="1:2" x14ac:dyDescent="0.3">
      <c r="A4344" s="2">
        <v>45838.916666666657</v>
      </c>
      <c r="B4344">
        <f>3960.09969368198*(3/4)</f>
        <v>2970.074770261484</v>
      </c>
    </row>
    <row r="4345" spans="1:2" x14ac:dyDescent="0.3">
      <c r="A4345" s="2">
        <v>45838.958333333343</v>
      </c>
      <c r="B4345">
        <f>4152.04351524159*(3/4)</f>
        <v>3114.0326364311932</v>
      </c>
    </row>
    <row r="4346" spans="1:2" x14ac:dyDescent="0.3">
      <c r="A4346" s="2">
        <v>45839</v>
      </c>
      <c r="B4346">
        <f>3783.03502573801*(3/4)</f>
        <v>2837.2762693035083</v>
      </c>
    </row>
    <row r="4347" spans="1:2" x14ac:dyDescent="0.3">
      <c r="A4347" s="2">
        <v>45839.041666666657</v>
      </c>
      <c r="B4347">
        <f>4171.56642533718*(3/4)</f>
        <v>3128.6748190028857</v>
      </c>
    </row>
    <row r="4348" spans="1:2" x14ac:dyDescent="0.3">
      <c r="A4348" s="2">
        <v>45839.083333333343</v>
      </c>
      <c r="B4348">
        <f>3986.04593750941*(3/4)</f>
        <v>2989.5344531320584</v>
      </c>
    </row>
    <row r="4349" spans="1:2" x14ac:dyDescent="0.3">
      <c r="A4349" s="2">
        <v>45839.125</v>
      </c>
      <c r="B4349">
        <f>4303.10808008562*(3/4)</f>
        <v>3227.3310600642153</v>
      </c>
    </row>
    <row r="4350" spans="1:2" x14ac:dyDescent="0.3">
      <c r="A4350" s="2">
        <v>45839.166666666657</v>
      </c>
      <c r="B4350">
        <f>4381.59356080399*(3/4)</f>
        <v>3286.1951706029945</v>
      </c>
    </row>
    <row r="4351" spans="1:2" x14ac:dyDescent="0.3">
      <c r="A4351" s="2">
        <v>45839.208333333343</v>
      </c>
      <c r="B4351">
        <f>3992.7890647077*(3/4)</f>
        <v>2994.5917985307728</v>
      </c>
    </row>
    <row r="4352" spans="1:2" x14ac:dyDescent="0.3">
      <c r="A4352" s="2">
        <v>45839.25</v>
      </c>
      <c r="B4352">
        <f>3969.42292442294*(3/4)</f>
        <v>2977.067193317208</v>
      </c>
    </row>
    <row r="4353" spans="1:2" x14ac:dyDescent="0.3">
      <c r="A4353" s="2">
        <v>45839.291666666657</v>
      </c>
      <c r="B4353">
        <f>4402.75946656718*(3/4)</f>
        <v>3302.069599925383</v>
      </c>
    </row>
    <row r="4354" spans="1:2" x14ac:dyDescent="0.3">
      <c r="A4354" s="2">
        <v>45839.333333333343</v>
      </c>
      <c r="B4354">
        <f>4246.06173614989*(3/4)</f>
        <v>3184.546302112416</v>
      </c>
    </row>
    <row r="4355" spans="1:2" x14ac:dyDescent="0.3">
      <c r="A4355" s="2">
        <v>45839.375</v>
      </c>
      <c r="B4355">
        <f>4094.47570612591*(3/4)</f>
        <v>3070.8567795944309</v>
      </c>
    </row>
    <row r="4356" spans="1:2" x14ac:dyDescent="0.3">
      <c r="A4356" s="2">
        <v>45839.416666666657</v>
      </c>
      <c r="B4356">
        <f>3994.07831784894*(3/4)</f>
        <v>2995.5587383867032</v>
      </c>
    </row>
    <row r="4357" spans="1:2" x14ac:dyDescent="0.3">
      <c r="A4357" s="2">
        <v>45839.458333333343</v>
      </c>
      <c r="B4357">
        <f>4453.25536822168*(3/4)</f>
        <v>3339.9415261662616</v>
      </c>
    </row>
    <row r="4358" spans="1:2" x14ac:dyDescent="0.3">
      <c r="A4358" s="2">
        <v>45839.5</v>
      </c>
      <c r="B4358">
        <f>4600.88151841551*(3/4)</f>
        <v>3450.6611388116298</v>
      </c>
    </row>
    <row r="4359" spans="1:2" x14ac:dyDescent="0.3">
      <c r="A4359" s="2">
        <v>45839.541666666657</v>
      </c>
      <c r="B4359">
        <f>4298.47080665582*(3/4)</f>
        <v>3223.8531049918661</v>
      </c>
    </row>
    <row r="4360" spans="1:2" x14ac:dyDescent="0.3">
      <c r="A4360" s="2">
        <v>45839.583333333343</v>
      </c>
      <c r="B4360">
        <f>3932.88651632883*(3/4)</f>
        <v>2949.664887246623</v>
      </c>
    </row>
    <row r="4361" spans="1:2" x14ac:dyDescent="0.3">
      <c r="A4361" s="2">
        <v>45839.625</v>
      </c>
      <c r="B4361">
        <f>4177.44598482582*(3/4)</f>
        <v>3133.0844886193686</v>
      </c>
    </row>
    <row r="4362" spans="1:2" x14ac:dyDescent="0.3">
      <c r="A4362" s="2">
        <v>45839.666666666657</v>
      </c>
      <c r="B4362">
        <f>4516.16688946889*(3/4)</f>
        <v>3387.1251671016648</v>
      </c>
    </row>
    <row r="4363" spans="1:2" x14ac:dyDescent="0.3">
      <c r="A4363" s="2">
        <v>45839.708333333343</v>
      </c>
      <c r="B4363">
        <f>4315.65243585122*(3/4)</f>
        <v>3236.7393268884134</v>
      </c>
    </row>
    <row r="4364" spans="1:2" x14ac:dyDescent="0.3">
      <c r="A4364" s="2">
        <v>45839.75</v>
      </c>
      <c r="B4364">
        <f>3985.75988598349*(3/4)</f>
        <v>2989.3199144876166</v>
      </c>
    </row>
    <row r="4365" spans="1:2" x14ac:dyDescent="0.3">
      <c r="A4365" s="2">
        <v>45839.791666666657</v>
      </c>
      <c r="B4365">
        <f>4478.95350734094*(3/4)</f>
        <v>3359.2151305057023</v>
      </c>
    </row>
    <row r="4366" spans="1:2" x14ac:dyDescent="0.3">
      <c r="A4366" s="2">
        <v>45839.833333333343</v>
      </c>
      <c r="B4366">
        <f>4465.3326669817*(3/4)</f>
        <v>3348.9995002362734</v>
      </c>
    </row>
    <row r="4367" spans="1:2" x14ac:dyDescent="0.3">
      <c r="A4367" s="2">
        <v>45839.875</v>
      </c>
      <c r="B4367">
        <f>4311.64229400892*(3/4)</f>
        <v>3233.7317205066897</v>
      </c>
    </row>
    <row r="4368" spans="1:2" x14ac:dyDescent="0.3">
      <c r="A4368" s="2">
        <v>45839.916666666657</v>
      </c>
      <c r="B4368">
        <f>3691.11388480029*(3/4)</f>
        <v>2768.335413600219</v>
      </c>
    </row>
    <row r="4369" spans="1:2" x14ac:dyDescent="0.3">
      <c r="A4369" s="2">
        <v>45839.958333333343</v>
      </c>
      <c r="B4369">
        <f>3923.54093143601*(3/4)</f>
        <v>2942.655698577008</v>
      </c>
    </row>
    <row r="4370" spans="1:2" x14ac:dyDescent="0.3">
      <c r="A4370" s="2">
        <v>45840</v>
      </c>
      <c r="B4370">
        <f>3935.74186868487*(3/4)</f>
        <v>2951.806401513652</v>
      </c>
    </row>
    <row r="4371" spans="1:2" x14ac:dyDescent="0.3">
      <c r="A4371" s="2">
        <v>45840.041666666657</v>
      </c>
      <c r="B4371">
        <f>4080.36599248549*(3/4)</f>
        <v>3060.2744943641205</v>
      </c>
    </row>
    <row r="4372" spans="1:2" x14ac:dyDescent="0.3">
      <c r="A4372" s="2">
        <v>45840.083333333343</v>
      </c>
      <c r="B4372">
        <f>4030.96570068956*(3/4)</f>
        <v>3023.2242755171706</v>
      </c>
    </row>
    <row r="4373" spans="1:2" x14ac:dyDescent="0.3">
      <c r="A4373" s="2">
        <v>45840.125</v>
      </c>
      <c r="B4373">
        <f>4272.78601893941*(3/4)</f>
        <v>3204.5895142045574</v>
      </c>
    </row>
    <row r="4374" spans="1:2" x14ac:dyDescent="0.3">
      <c r="A4374" s="2">
        <v>45840.166666666657</v>
      </c>
      <c r="B4374">
        <f>4168.83191002979*(3/4)</f>
        <v>3126.6239325223455</v>
      </c>
    </row>
    <row r="4375" spans="1:2" x14ac:dyDescent="0.3">
      <c r="A4375" s="2">
        <v>45840.208333333343</v>
      </c>
      <c r="B4375">
        <f>4318.1966884921*(3/4)</f>
        <v>3238.6475163690752</v>
      </c>
    </row>
    <row r="4376" spans="1:2" x14ac:dyDescent="0.3">
      <c r="A4376" s="2">
        <v>45840.25</v>
      </c>
      <c r="B4376">
        <f>3956.54133287183*(3/4)</f>
        <v>2967.4059996538713</v>
      </c>
    </row>
    <row r="4377" spans="1:2" x14ac:dyDescent="0.3">
      <c r="A4377" s="2">
        <v>45840.291666666657</v>
      </c>
      <c r="B4377">
        <f>4110.79754793106*(3/4)</f>
        <v>3083.0981609482983</v>
      </c>
    </row>
    <row r="4378" spans="1:2" x14ac:dyDescent="0.3">
      <c r="A4378" s="2">
        <v>45840.333333333343</v>
      </c>
      <c r="B4378">
        <f>4499.70471067997*(3/4)</f>
        <v>3374.7785330099769</v>
      </c>
    </row>
    <row r="4379" spans="1:2" x14ac:dyDescent="0.3">
      <c r="A4379" s="2">
        <v>45840.375</v>
      </c>
      <c r="B4379">
        <f>4459.52571555858*(3/4)</f>
        <v>3344.6442866689381</v>
      </c>
    </row>
    <row r="4380" spans="1:2" x14ac:dyDescent="0.3">
      <c r="A4380" s="2">
        <v>45840.416666666657</v>
      </c>
      <c r="B4380">
        <f>3945.90805219178*(3/4)</f>
        <v>2959.4310391438357</v>
      </c>
    </row>
    <row r="4381" spans="1:2" x14ac:dyDescent="0.3">
      <c r="A4381" s="2">
        <v>45840.458333333343</v>
      </c>
      <c r="B4381">
        <f>4064.65238330189*(3/4)</f>
        <v>3048.489287476415</v>
      </c>
    </row>
    <row r="4382" spans="1:2" x14ac:dyDescent="0.3">
      <c r="A4382" s="2">
        <v>45840.5</v>
      </c>
      <c r="B4382">
        <f>4140.9900470387*(3/4)</f>
        <v>3105.7425352790242</v>
      </c>
    </row>
    <row r="4383" spans="1:2" x14ac:dyDescent="0.3">
      <c r="A4383" s="2">
        <v>45840.541666666657</v>
      </c>
      <c r="B4383">
        <f>4384.4985561487*(3/4)</f>
        <v>3288.3739171115276</v>
      </c>
    </row>
    <row r="4384" spans="1:2" x14ac:dyDescent="0.3">
      <c r="A4384" s="2">
        <v>45840.583333333343</v>
      </c>
      <c r="B4384">
        <f>3892.22142678643*(3/4)</f>
        <v>2919.1660700898201</v>
      </c>
    </row>
    <row r="4385" spans="1:2" x14ac:dyDescent="0.3">
      <c r="A4385" s="2">
        <v>45840.625</v>
      </c>
      <c r="B4385">
        <f>4021.25053748326*(3/4)</f>
        <v>3015.9379031124481</v>
      </c>
    </row>
    <row r="4386" spans="1:2" x14ac:dyDescent="0.3">
      <c r="A4386" s="2">
        <v>45840.666666666657</v>
      </c>
      <c r="B4386">
        <f>3889.26899849318*(3/4)</f>
        <v>2916.951748869888</v>
      </c>
    </row>
    <row r="4387" spans="1:2" x14ac:dyDescent="0.3">
      <c r="A4387" s="2">
        <v>45840.708333333343</v>
      </c>
      <c r="B4387">
        <f>4330.63411106963*(3/4)</f>
        <v>3247.9755833022236</v>
      </c>
    </row>
    <row r="4388" spans="1:2" x14ac:dyDescent="0.3">
      <c r="A4388" s="2">
        <v>45840.75</v>
      </c>
      <c r="B4388">
        <f>4413.6053431759*(3/4)</f>
        <v>3310.2040073819257</v>
      </c>
    </row>
    <row r="4389" spans="1:2" x14ac:dyDescent="0.3">
      <c r="A4389" s="2">
        <v>45840.791666666657</v>
      </c>
      <c r="B4389">
        <f>4015.45705759153*(3/4)</f>
        <v>3011.592793193649</v>
      </c>
    </row>
    <row r="4390" spans="1:2" x14ac:dyDescent="0.3">
      <c r="A4390" s="2">
        <v>45840.833333333343</v>
      </c>
      <c r="B4390">
        <f>4257.38661557832*(3/4)</f>
        <v>3193.0399616837431</v>
      </c>
    </row>
    <row r="4391" spans="1:2" x14ac:dyDescent="0.3">
      <c r="A4391" s="2">
        <v>45840.875</v>
      </c>
      <c r="B4391">
        <f>4341.49714404826*(3/4)</f>
        <v>3256.1228580361958</v>
      </c>
    </row>
    <row r="4392" spans="1:2" x14ac:dyDescent="0.3">
      <c r="A4392" s="2">
        <v>45840.916666666657</v>
      </c>
      <c r="B4392">
        <f>4027.1613266854*(3/4)</f>
        <v>3020.3709950140501</v>
      </c>
    </row>
    <row r="4393" spans="1:2" x14ac:dyDescent="0.3">
      <c r="A4393" s="2">
        <v>45840.958333333343</v>
      </c>
      <c r="B4393">
        <f>4230.52806484213*(3/4)</f>
        <v>3172.8960486316</v>
      </c>
    </row>
    <row r="4394" spans="1:2" x14ac:dyDescent="0.3">
      <c r="A4394" s="2">
        <v>45841</v>
      </c>
      <c r="B4394">
        <f>4203.62054576394*(3/4)</f>
        <v>3152.7154093229542</v>
      </c>
    </row>
    <row r="4395" spans="1:2" x14ac:dyDescent="0.3">
      <c r="A4395" s="2">
        <v>45841.041666666657</v>
      </c>
      <c r="B4395">
        <f>4302.95393777927*(3/4)</f>
        <v>3227.2154533344519</v>
      </c>
    </row>
    <row r="4396" spans="1:2" x14ac:dyDescent="0.3">
      <c r="A4396" s="2">
        <v>45841.083333333343</v>
      </c>
      <c r="B4396">
        <f>3995.96567697796*(3/4)</f>
        <v>2996.9742577334719</v>
      </c>
    </row>
    <row r="4397" spans="1:2" x14ac:dyDescent="0.3">
      <c r="A4397" s="2">
        <v>45841.125</v>
      </c>
      <c r="B4397">
        <f>4164.00806033704*(3/4)</f>
        <v>3123.0060452527814</v>
      </c>
    </row>
    <row r="4398" spans="1:2" x14ac:dyDescent="0.3">
      <c r="A4398" s="2">
        <v>45841.166666666657</v>
      </c>
      <c r="B4398">
        <f>4252.43691169095*(3/4)</f>
        <v>3189.3276837682106</v>
      </c>
    </row>
    <row r="4399" spans="1:2" x14ac:dyDescent="0.3">
      <c r="A4399" s="2">
        <v>45841.208333333343</v>
      </c>
      <c r="B4399">
        <f>4038.84745692407*(3/4)</f>
        <v>3029.135592693051</v>
      </c>
    </row>
    <row r="4400" spans="1:2" x14ac:dyDescent="0.3">
      <c r="A4400" s="2">
        <v>45841.25</v>
      </c>
      <c r="B4400">
        <f>4149.48722334987*(3/4)</f>
        <v>3112.1154175124047</v>
      </c>
    </row>
    <row r="4401" spans="1:2" x14ac:dyDescent="0.3">
      <c r="A4401" s="2">
        <v>45841.291666666657</v>
      </c>
      <c r="B4401">
        <f>4206.27176546139*(3/4)</f>
        <v>3154.7038240960451</v>
      </c>
    </row>
    <row r="4402" spans="1:2" x14ac:dyDescent="0.3">
      <c r="A4402" s="2">
        <v>45841.333333333343</v>
      </c>
      <c r="B4402">
        <f>4570.86242792032*(3/4)</f>
        <v>3428.1468209402401</v>
      </c>
    </row>
    <row r="4403" spans="1:2" x14ac:dyDescent="0.3">
      <c r="A4403" s="2">
        <v>45841.375</v>
      </c>
      <c r="B4403">
        <f>4401.50123837116*(3/4)</f>
        <v>3301.1259287783678</v>
      </c>
    </row>
    <row r="4404" spans="1:2" x14ac:dyDescent="0.3">
      <c r="A4404" s="2">
        <v>45841.416666666657</v>
      </c>
      <c r="B4404">
        <f>4014.18856912848*(3/4)</f>
        <v>3010.6414268463577</v>
      </c>
    </row>
    <row r="4405" spans="1:2" x14ac:dyDescent="0.3">
      <c r="A4405" s="2">
        <v>45841.458333333343</v>
      </c>
      <c r="B4405">
        <f>4077.10293911403*(3/4)</f>
        <v>3057.8272043355196</v>
      </c>
    </row>
    <row r="4406" spans="1:2" x14ac:dyDescent="0.3">
      <c r="A4406" s="2">
        <v>45841.5</v>
      </c>
      <c r="B4406">
        <f>4363.71800022366*(3/4)</f>
        <v>3272.7885001677469</v>
      </c>
    </row>
    <row r="4407" spans="1:2" x14ac:dyDescent="0.3">
      <c r="A4407" s="2">
        <v>45841.541666666657</v>
      </c>
      <c r="B4407">
        <f>4247.36420063606*(3/4)</f>
        <v>3185.5231504770418</v>
      </c>
    </row>
    <row r="4408" spans="1:2" x14ac:dyDescent="0.3">
      <c r="A4408" s="2">
        <v>45841.583333333343</v>
      </c>
      <c r="B4408">
        <f>4104.90461360502*(3/4)</f>
        <v>3078.6784602037651</v>
      </c>
    </row>
    <row r="4409" spans="1:2" x14ac:dyDescent="0.3">
      <c r="A4409" s="2">
        <v>45841.625</v>
      </c>
      <c r="B4409">
        <f>4022.32813012693*(3/4)</f>
        <v>3016.7460975951963</v>
      </c>
    </row>
    <row r="4410" spans="1:2" x14ac:dyDescent="0.3">
      <c r="A4410" s="2">
        <v>45841.666666666657</v>
      </c>
      <c r="B4410">
        <f>3998.76318363389*(3/4)</f>
        <v>2999.0723877254145</v>
      </c>
    </row>
    <row r="4411" spans="1:2" x14ac:dyDescent="0.3">
      <c r="A4411" s="2">
        <v>45841.708333333343</v>
      </c>
      <c r="B4411">
        <f>4393.71815450982*(3/4)</f>
        <v>3295.2886158823671</v>
      </c>
    </row>
    <row r="4412" spans="1:2" x14ac:dyDescent="0.3">
      <c r="A4412" s="2">
        <v>45841.75</v>
      </c>
      <c r="B4412">
        <f>4391.53714272739*(3/4)</f>
        <v>3293.6528570455457</v>
      </c>
    </row>
    <row r="4413" spans="1:2" x14ac:dyDescent="0.3">
      <c r="A4413" s="2">
        <v>45841.791666666657</v>
      </c>
      <c r="B4413">
        <f>4354.11917190775*(3/4)</f>
        <v>3265.5893789308111</v>
      </c>
    </row>
    <row r="4414" spans="1:2" x14ac:dyDescent="0.3">
      <c r="A4414" s="2">
        <v>45841.833333333343</v>
      </c>
      <c r="B4414">
        <f>4208.25555007493*(3/4)</f>
        <v>3156.1916625561985</v>
      </c>
    </row>
    <row r="4415" spans="1:2" x14ac:dyDescent="0.3">
      <c r="A4415" s="2">
        <v>45841.875</v>
      </c>
      <c r="B4415">
        <f>4114.81307161234*(3/4)</f>
        <v>3086.1098037092561</v>
      </c>
    </row>
    <row r="4416" spans="1:2" x14ac:dyDescent="0.3">
      <c r="A4416" s="2">
        <v>45841.916666666657</v>
      </c>
      <c r="B4416">
        <f>3838.63981454208*(3/4)</f>
        <v>2878.979860906557</v>
      </c>
    </row>
    <row r="4417" spans="1:2" x14ac:dyDescent="0.3">
      <c r="A4417" s="2">
        <v>45841.958333333343</v>
      </c>
      <c r="B4417">
        <f>3832.99944455405*(3/4)</f>
        <v>2874.7495834155352</v>
      </c>
    </row>
    <row r="4418" spans="1:2" x14ac:dyDescent="0.3">
      <c r="A4418" s="2">
        <v>45842</v>
      </c>
      <c r="B4418">
        <f>4190.7011990904*(3/4)</f>
        <v>3143.0258993177977</v>
      </c>
    </row>
    <row r="4419" spans="1:2" x14ac:dyDescent="0.3">
      <c r="A4419" s="2">
        <v>45842.041666666657</v>
      </c>
      <c r="B4419">
        <f>4112.32573611828*(3/4)</f>
        <v>3084.2443020887067</v>
      </c>
    </row>
    <row r="4420" spans="1:2" x14ac:dyDescent="0.3">
      <c r="A4420" s="2">
        <v>45842.083333333343</v>
      </c>
      <c r="B4420">
        <f>3937.22632579235*(3/4)</f>
        <v>2952.9197443442654</v>
      </c>
    </row>
    <row r="4421" spans="1:2" x14ac:dyDescent="0.3">
      <c r="A4421" s="2">
        <v>45842.125</v>
      </c>
      <c r="B4421">
        <f>4089.42444368577*(3/4)</f>
        <v>3067.0683327643305</v>
      </c>
    </row>
    <row r="4422" spans="1:2" x14ac:dyDescent="0.3">
      <c r="A4422" s="2">
        <v>45842.166666666657</v>
      </c>
      <c r="B4422">
        <f>4203.43777160427*(3/4)</f>
        <v>3152.5783287032054</v>
      </c>
    </row>
    <row r="4423" spans="1:2" x14ac:dyDescent="0.3">
      <c r="A4423" s="2">
        <v>45842.208333333343</v>
      </c>
      <c r="B4423">
        <f>4330.72351993811*(3/4)</f>
        <v>3248.0426399535841</v>
      </c>
    </row>
    <row r="4424" spans="1:2" x14ac:dyDescent="0.3">
      <c r="A4424" s="2">
        <v>45842.25</v>
      </c>
      <c r="B4424">
        <f>3781.04382063307*(3/4)</f>
        <v>2835.7828654748027</v>
      </c>
    </row>
    <row r="4425" spans="1:2" x14ac:dyDescent="0.3">
      <c r="A4425" s="2">
        <v>45842.291666666657</v>
      </c>
      <c r="B4425">
        <f>4385.78407033694*(3/4)</f>
        <v>3289.3380527527052</v>
      </c>
    </row>
    <row r="4426" spans="1:2" x14ac:dyDescent="0.3">
      <c r="A4426" s="2">
        <v>45842.333333333343</v>
      </c>
      <c r="B4426">
        <f>4622.09420601961*(3/4)</f>
        <v>3466.5706545147086</v>
      </c>
    </row>
    <row r="4427" spans="1:2" x14ac:dyDescent="0.3">
      <c r="A4427" s="2">
        <v>45842.375</v>
      </c>
      <c r="B4427">
        <f>4127.74748730237*(3/4)</f>
        <v>3095.8106154767784</v>
      </c>
    </row>
    <row r="4428" spans="1:2" x14ac:dyDescent="0.3">
      <c r="A4428" s="2">
        <v>45842.416666666657</v>
      </c>
      <c r="B4428">
        <f>4353.36453860142*(3/4)</f>
        <v>3265.0234039510678</v>
      </c>
    </row>
    <row r="4429" spans="1:2" x14ac:dyDescent="0.3">
      <c r="A4429" s="2">
        <v>45842.458333333343</v>
      </c>
      <c r="B4429">
        <f>4287.04183386731*(3/4)</f>
        <v>3215.2813754004792</v>
      </c>
    </row>
    <row r="4430" spans="1:2" x14ac:dyDescent="0.3">
      <c r="A4430" s="2">
        <v>45842.5</v>
      </c>
      <c r="B4430">
        <f>4747.16211548211*(3/4)</f>
        <v>3560.371586611579</v>
      </c>
    </row>
    <row r="4431" spans="1:2" x14ac:dyDescent="0.3">
      <c r="A4431" s="2">
        <v>45842.541666666657</v>
      </c>
      <c r="B4431">
        <f>4067.77993422486*(3/4)</f>
        <v>3050.8349506686482</v>
      </c>
    </row>
    <row r="4432" spans="1:2" x14ac:dyDescent="0.3">
      <c r="A4432" s="2">
        <v>45842.583333333343</v>
      </c>
      <c r="B4432">
        <f>4137.63545623757*(3/4)</f>
        <v>3103.2265921781745</v>
      </c>
    </row>
    <row r="4433" spans="1:2" x14ac:dyDescent="0.3">
      <c r="A4433" s="2">
        <v>45842.625</v>
      </c>
      <c r="B4433">
        <f>4360.44776724101*(3/4)</f>
        <v>3270.3358254307605</v>
      </c>
    </row>
    <row r="4434" spans="1:2" x14ac:dyDescent="0.3">
      <c r="A4434" s="2">
        <v>45842.666666666657</v>
      </c>
      <c r="B4434">
        <f>4068.97516315088*(3/4)</f>
        <v>3051.7313723631569</v>
      </c>
    </row>
    <row r="4435" spans="1:2" x14ac:dyDescent="0.3">
      <c r="A4435" s="2">
        <v>45842.708333333343</v>
      </c>
      <c r="B4435">
        <f>4371.0708466209*(3/4)</f>
        <v>3278.3031349656749</v>
      </c>
    </row>
    <row r="4436" spans="1:2" x14ac:dyDescent="0.3">
      <c r="A4436" s="2">
        <v>45842.75</v>
      </c>
      <c r="B4436">
        <f>4131.97944412671*(3/4)</f>
        <v>3098.9845830950317</v>
      </c>
    </row>
    <row r="4437" spans="1:2" x14ac:dyDescent="0.3">
      <c r="A4437" s="2">
        <v>45842.791666666657</v>
      </c>
      <c r="B4437">
        <f>4001.98048587832*(3/4)</f>
        <v>3001.4853644087416</v>
      </c>
    </row>
    <row r="4438" spans="1:2" x14ac:dyDescent="0.3">
      <c r="A4438" s="2">
        <v>45842.833333333343</v>
      </c>
      <c r="B4438">
        <f>4346.00728676743*(3/4)</f>
        <v>3259.5054650755737</v>
      </c>
    </row>
    <row r="4439" spans="1:2" x14ac:dyDescent="0.3">
      <c r="A4439" s="2">
        <v>45842.875</v>
      </c>
      <c r="B4439">
        <f>4155.54014990908*(3/4)</f>
        <v>3116.6551124318121</v>
      </c>
    </row>
    <row r="4440" spans="1:2" x14ac:dyDescent="0.3">
      <c r="A4440" s="2">
        <v>45842.916666666657</v>
      </c>
      <c r="B4440">
        <f>3784.17142888453*(3/4)</f>
        <v>2838.1285716633952</v>
      </c>
    </row>
    <row r="4441" spans="1:2" x14ac:dyDescent="0.3">
      <c r="A4441" s="2">
        <v>45842.958333333343</v>
      </c>
      <c r="B4441">
        <f>3998.52552098634*(3/4)</f>
        <v>2998.8941407397574</v>
      </c>
    </row>
    <row r="4442" spans="1:2" x14ac:dyDescent="0.3">
      <c r="A4442" s="2">
        <v>45843</v>
      </c>
      <c r="B4442">
        <f>4087.19684957007*(3/4)</f>
        <v>3065.3976371775516</v>
      </c>
    </row>
    <row r="4443" spans="1:2" x14ac:dyDescent="0.3">
      <c r="A4443" s="2">
        <v>45843.041666666657</v>
      </c>
      <c r="B4443">
        <f>3952.29442558024*(3/4)</f>
        <v>2964.2208191851787</v>
      </c>
    </row>
    <row r="4444" spans="1:2" x14ac:dyDescent="0.3">
      <c r="A4444" s="2">
        <v>45843.083333333343</v>
      </c>
      <c r="B4444">
        <f>3906.42458590034*(3/4)</f>
        <v>2929.8184394252521</v>
      </c>
    </row>
    <row r="4445" spans="1:2" x14ac:dyDescent="0.3">
      <c r="A4445" s="2">
        <v>45843.125</v>
      </c>
      <c r="B4445">
        <f>3937.1152270213*(3/4)</f>
        <v>2952.8364202659714</v>
      </c>
    </row>
    <row r="4446" spans="1:2" x14ac:dyDescent="0.3">
      <c r="A4446" s="2">
        <v>45843.166666666657</v>
      </c>
      <c r="B4446">
        <f>4103.23578128535*(3/4)</f>
        <v>3077.426835964015</v>
      </c>
    </row>
    <row r="4447" spans="1:2" x14ac:dyDescent="0.3">
      <c r="A4447" s="2">
        <v>45843.208333333343</v>
      </c>
      <c r="B4447">
        <f>4209.96081875118*(3/4)</f>
        <v>3157.4706140633834</v>
      </c>
    </row>
    <row r="4448" spans="1:2" x14ac:dyDescent="0.3">
      <c r="A4448" s="2">
        <v>45843.25</v>
      </c>
      <c r="B4448">
        <f>4103.99732240834*(3/4)</f>
        <v>3077.9979918062536</v>
      </c>
    </row>
    <row r="4449" spans="1:2" x14ac:dyDescent="0.3">
      <c r="A4449" s="2">
        <v>45843.291666666657</v>
      </c>
      <c r="B4449">
        <f>4429.01737108236*(3/4)</f>
        <v>3321.7630283117669</v>
      </c>
    </row>
    <row r="4450" spans="1:2" x14ac:dyDescent="0.3">
      <c r="A4450" s="2">
        <v>45843.333333333343</v>
      </c>
      <c r="B4450">
        <f>4565.14412624532*(3/4)</f>
        <v>3423.8580946839879</v>
      </c>
    </row>
    <row r="4451" spans="1:2" x14ac:dyDescent="0.3">
      <c r="A4451" s="2">
        <v>45843.375</v>
      </c>
      <c r="B4451">
        <f>4142.839224466*(3/4)</f>
        <v>3107.1294183495033</v>
      </c>
    </row>
    <row r="4452" spans="1:2" x14ac:dyDescent="0.3">
      <c r="A4452" s="2">
        <v>45843.416666666657</v>
      </c>
      <c r="B4452">
        <f>4257.85799551344*(3/4)</f>
        <v>3193.3934966350798</v>
      </c>
    </row>
    <row r="4453" spans="1:2" x14ac:dyDescent="0.3">
      <c r="A4453" s="2">
        <v>45843.458333333343</v>
      </c>
      <c r="B4453">
        <f>4299.42310188604*(3/4)</f>
        <v>3224.5673264145307</v>
      </c>
    </row>
    <row r="4454" spans="1:2" x14ac:dyDescent="0.3">
      <c r="A4454" s="2">
        <v>45843.5</v>
      </c>
      <c r="B4454">
        <f>4545.31089647456*(3/4)</f>
        <v>3408.9831723559209</v>
      </c>
    </row>
    <row r="4455" spans="1:2" x14ac:dyDescent="0.3">
      <c r="A4455" s="2">
        <v>45843.541666666657</v>
      </c>
      <c r="B4455">
        <f>4410.44809386267*(3/4)</f>
        <v>3307.8360703970034</v>
      </c>
    </row>
    <row r="4456" spans="1:2" x14ac:dyDescent="0.3">
      <c r="A4456" s="2">
        <v>45843.583333333343</v>
      </c>
      <c r="B4456">
        <f>3854.33886028684*(3/4)</f>
        <v>2890.7541452151318</v>
      </c>
    </row>
    <row r="4457" spans="1:2" x14ac:dyDescent="0.3">
      <c r="A4457" s="2">
        <v>45843.625</v>
      </c>
      <c r="B4457">
        <f>4130.44707084302*(3/4)</f>
        <v>3097.8353031322686</v>
      </c>
    </row>
    <row r="4458" spans="1:2" x14ac:dyDescent="0.3">
      <c r="A4458" s="2">
        <v>45843.666666666657</v>
      </c>
      <c r="B4458">
        <f>4494.44495749626*(3/4)</f>
        <v>3370.8337181221987</v>
      </c>
    </row>
    <row r="4459" spans="1:2" x14ac:dyDescent="0.3">
      <c r="A4459" s="2">
        <v>45843.708333333343</v>
      </c>
      <c r="B4459">
        <f>4150.48423494781*(3/4)</f>
        <v>3112.8631762108607</v>
      </c>
    </row>
    <row r="4460" spans="1:2" x14ac:dyDescent="0.3">
      <c r="A4460" s="2">
        <v>45843.75</v>
      </c>
      <c r="B4460">
        <f>4135.37392247514*(3/4)</f>
        <v>3101.5304418563537</v>
      </c>
    </row>
    <row r="4461" spans="1:2" x14ac:dyDescent="0.3">
      <c r="A4461" s="2">
        <v>45843.791666666657</v>
      </c>
      <c r="B4461">
        <f>4352.48812129652*(3/4)</f>
        <v>3264.3660909723894</v>
      </c>
    </row>
    <row r="4462" spans="1:2" x14ac:dyDescent="0.3">
      <c r="A4462" s="2">
        <v>45843.833333333343</v>
      </c>
      <c r="B4462">
        <f>4259.02392723375*(3/4)</f>
        <v>3194.267945425313</v>
      </c>
    </row>
    <row r="4463" spans="1:2" x14ac:dyDescent="0.3">
      <c r="A4463" s="2">
        <v>45843.875</v>
      </c>
      <c r="B4463">
        <f>4439.23706028948*(3/4)</f>
        <v>3329.4277952171115</v>
      </c>
    </row>
    <row r="4464" spans="1:2" x14ac:dyDescent="0.3">
      <c r="A4464" s="2">
        <v>45843.916666666657</v>
      </c>
      <c r="B4464">
        <f>3752.76898005879*(3/4)</f>
        <v>2814.5767350440919</v>
      </c>
    </row>
    <row r="4465" spans="1:2" x14ac:dyDescent="0.3">
      <c r="A4465" s="2">
        <v>45843.958333333343</v>
      </c>
      <c r="B4465">
        <f>4224.9957018326*(3/4)</f>
        <v>3168.7467763744517</v>
      </c>
    </row>
    <row r="4466" spans="1:2" x14ac:dyDescent="0.3">
      <c r="A4466" s="2">
        <v>45844</v>
      </c>
      <c r="B4466">
        <f>4154.34922337238*(3/4)</f>
        <v>3115.7619175292843</v>
      </c>
    </row>
    <row r="4467" spans="1:2" x14ac:dyDescent="0.3">
      <c r="A4467" s="2">
        <v>45844.041666666657</v>
      </c>
      <c r="B4467">
        <f>4351.46671532078*(3/4)</f>
        <v>3263.6000364905872</v>
      </c>
    </row>
    <row r="4468" spans="1:2" x14ac:dyDescent="0.3">
      <c r="A4468" s="2">
        <v>45844.083333333343</v>
      </c>
      <c r="B4468">
        <f>4071.95713122315*(3/4)</f>
        <v>3053.9678484173637</v>
      </c>
    </row>
    <row r="4469" spans="1:2" x14ac:dyDescent="0.3">
      <c r="A4469" s="2">
        <v>45844.125</v>
      </c>
      <c r="B4469">
        <f>3930.04980759835*(3/4)</f>
        <v>2947.5373556987597</v>
      </c>
    </row>
    <row r="4470" spans="1:2" x14ac:dyDescent="0.3">
      <c r="A4470" s="2">
        <v>45844.166666666657</v>
      </c>
      <c r="B4470">
        <f>4186.92003816751*(3/4)</f>
        <v>3140.1900286256346</v>
      </c>
    </row>
    <row r="4471" spans="1:2" x14ac:dyDescent="0.3">
      <c r="A4471" s="2">
        <v>45844.208333333343</v>
      </c>
      <c r="B4471">
        <f>3949.49486933412*(3/4)</f>
        <v>2962.1211520005922</v>
      </c>
    </row>
    <row r="4472" spans="1:2" x14ac:dyDescent="0.3">
      <c r="A4472" s="2">
        <v>45844.25</v>
      </c>
      <c r="B4472">
        <f>3934.07343816247*(3/4)</f>
        <v>2950.5550786218491</v>
      </c>
    </row>
    <row r="4473" spans="1:2" x14ac:dyDescent="0.3">
      <c r="A4473" s="2">
        <v>45844.291666666657</v>
      </c>
      <c r="B4473">
        <f>4116.94772065876*(3/4)</f>
        <v>3087.7107904940685</v>
      </c>
    </row>
    <row r="4474" spans="1:2" x14ac:dyDescent="0.3">
      <c r="A4474" s="2">
        <v>45844.333333333343</v>
      </c>
      <c r="B4474">
        <f>3509.54624256694*(3/4)</f>
        <v>2632.1596819252072</v>
      </c>
    </row>
    <row r="4475" spans="1:2" x14ac:dyDescent="0.3">
      <c r="A4475" s="2">
        <v>45844.375</v>
      </c>
      <c r="B4475">
        <f>3237.46905215173*(3/4)</f>
        <v>2428.1017891137999</v>
      </c>
    </row>
    <row r="4476" spans="1:2" x14ac:dyDescent="0.3">
      <c r="A4476" s="2">
        <v>45844.416666666657</v>
      </c>
      <c r="B4476">
        <f>3354.22167293443*(3/4)</f>
        <v>2515.6662547008195</v>
      </c>
    </row>
    <row r="4477" spans="1:2" x14ac:dyDescent="0.3">
      <c r="A4477" s="2">
        <v>45844.458333333343</v>
      </c>
      <c r="B4477">
        <f>3168.33024518071*(3/4)</f>
        <v>2376.2476838855318</v>
      </c>
    </row>
    <row r="4478" spans="1:2" x14ac:dyDescent="0.3">
      <c r="A4478" s="2">
        <v>45844.5</v>
      </c>
      <c r="B4478">
        <f>3003.00956806626*(3/4)</f>
        <v>2252.2571760496935</v>
      </c>
    </row>
    <row r="4479" spans="1:2" x14ac:dyDescent="0.3">
      <c r="A4479" s="2">
        <v>45844.541666666657</v>
      </c>
      <c r="B4479">
        <f>3600.40166871873*(3/4)</f>
        <v>2700.3012515390501</v>
      </c>
    </row>
    <row r="4480" spans="1:2" x14ac:dyDescent="0.3">
      <c r="A4480" s="2">
        <v>45844.583333333343</v>
      </c>
      <c r="B4480">
        <f>3132.26925697329*(3/4)</f>
        <v>2349.2019427299665</v>
      </c>
    </row>
    <row r="4481" spans="1:2" x14ac:dyDescent="0.3">
      <c r="A4481" s="2">
        <v>45844.625</v>
      </c>
      <c r="B4481">
        <f>3539.08378159125*(3/4)</f>
        <v>2654.3128361934405</v>
      </c>
    </row>
    <row r="4482" spans="1:2" x14ac:dyDescent="0.3">
      <c r="A4482" s="2">
        <v>45844.666666666657</v>
      </c>
      <c r="B4482">
        <f>3344.53301927925*(3/4)</f>
        <v>2508.3997644594392</v>
      </c>
    </row>
    <row r="4483" spans="1:2" x14ac:dyDescent="0.3">
      <c r="A4483" s="2">
        <v>45844.708333333343</v>
      </c>
      <c r="B4483">
        <f>4044.81613820042*(3/4)</f>
        <v>3033.612103650315</v>
      </c>
    </row>
    <row r="4484" spans="1:2" x14ac:dyDescent="0.3">
      <c r="A4484" s="2">
        <v>45844.75</v>
      </c>
      <c r="B4484">
        <f>4173.58419232103*(3/4)</f>
        <v>3130.1881442407757</v>
      </c>
    </row>
    <row r="4485" spans="1:2" x14ac:dyDescent="0.3">
      <c r="A4485" s="2">
        <v>45844.791666666657</v>
      </c>
      <c r="B4485">
        <f>4225.65607420043*(3/4)</f>
        <v>3169.2420556503203</v>
      </c>
    </row>
    <row r="4486" spans="1:2" x14ac:dyDescent="0.3">
      <c r="A4486" s="2">
        <v>45844.833333333343</v>
      </c>
      <c r="B4486">
        <f>4455.83672290202*(3/4)</f>
        <v>3341.8775421765167</v>
      </c>
    </row>
    <row r="4487" spans="1:2" x14ac:dyDescent="0.3">
      <c r="A4487" s="2">
        <v>45844.875</v>
      </c>
      <c r="B4487">
        <f>4169.08031943764*(3/4)</f>
        <v>3126.8102395782325</v>
      </c>
    </row>
    <row r="4488" spans="1:2" x14ac:dyDescent="0.3">
      <c r="A4488" s="2">
        <v>45844.916666666657</v>
      </c>
      <c r="B4488">
        <f>3883.00650442518*(3/4)</f>
        <v>2912.2548783188831</v>
      </c>
    </row>
    <row r="4489" spans="1:2" x14ac:dyDescent="0.3">
      <c r="A4489" s="2">
        <v>45844.958333333343</v>
      </c>
      <c r="B4489">
        <f>3961.90957191709*(3/4)</f>
        <v>2971.4321789378205</v>
      </c>
    </row>
    <row r="4490" spans="1:2" x14ac:dyDescent="0.3">
      <c r="A4490" s="2">
        <v>45845</v>
      </c>
      <c r="B4490">
        <f>3802.17082727976*(3/4)</f>
        <v>2851.6281204598172</v>
      </c>
    </row>
    <row r="4491" spans="1:2" x14ac:dyDescent="0.3">
      <c r="A4491" s="2">
        <v>45845.041666666657</v>
      </c>
      <c r="B4491">
        <f>4104.51694955911*(3/4)</f>
        <v>3078.3877121693331</v>
      </c>
    </row>
    <row r="4492" spans="1:2" x14ac:dyDescent="0.3">
      <c r="A4492" s="2">
        <v>45845.083333333343</v>
      </c>
      <c r="B4492">
        <f>3986.19102491327*(3/4)</f>
        <v>2989.6432686849553</v>
      </c>
    </row>
    <row r="4493" spans="1:2" x14ac:dyDescent="0.3">
      <c r="A4493" s="2">
        <v>45845.125</v>
      </c>
      <c r="B4493">
        <f>4282.4047068858*(3/4)</f>
        <v>3211.8035301643531</v>
      </c>
    </row>
    <row r="4494" spans="1:2" x14ac:dyDescent="0.3">
      <c r="A4494" s="2">
        <v>45845.166666666657</v>
      </c>
      <c r="B4494">
        <f>4414.18907184115*(3/4)</f>
        <v>3310.6418038808588</v>
      </c>
    </row>
    <row r="4495" spans="1:2" x14ac:dyDescent="0.3">
      <c r="A4495" s="2">
        <v>45845.208333333343</v>
      </c>
      <c r="B4495">
        <f>4179.41971264124*(3/4)</f>
        <v>3134.5647844809328</v>
      </c>
    </row>
    <row r="4496" spans="1:2" x14ac:dyDescent="0.3">
      <c r="A4496" s="2">
        <v>45845.25</v>
      </c>
      <c r="B4496">
        <f>4015.91753588277*(3/4)</f>
        <v>3011.9381519120761</v>
      </c>
    </row>
    <row r="4497" spans="1:2" x14ac:dyDescent="0.3">
      <c r="A4497" s="2">
        <v>45845.291666666657</v>
      </c>
      <c r="B4497">
        <f>4310.22006255024*(3/4)</f>
        <v>3232.6650469126807</v>
      </c>
    </row>
    <row r="4498" spans="1:2" x14ac:dyDescent="0.3">
      <c r="A4498" s="2">
        <v>45845.333333333343</v>
      </c>
      <c r="B4498">
        <f>4341.13338110208*(3/4)</f>
        <v>3255.8500358265583</v>
      </c>
    </row>
    <row r="4499" spans="1:2" x14ac:dyDescent="0.3">
      <c r="A4499" s="2">
        <v>45845.375</v>
      </c>
      <c r="B4499">
        <f>4327.16006577911*(3/4)</f>
        <v>3245.3700493343313</v>
      </c>
    </row>
    <row r="4500" spans="1:2" x14ac:dyDescent="0.3">
      <c r="A4500" s="2">
        <v>45845.416666666657</v>
      </c>
      <c r="B4500">
        <f>4196.50421102678*(3/4)</f>
        <v>3147.3781582700826</v>
      </c>
    </row>
    <row r="4501" spans="1:2" x14ac:dyDescent="0.3">
      <c r="A4501" s="2">
        <v>45845.458333333343</v>
      </c>
      <c r="B4501">
        <f>4022.05222639934*(3/4)</f>
        <v>3016.5391697995042</v>
      </c>
    </row>
    <row r="4502" spans="1:2" x14ac:dyDescent="0.3">
      <c r="A4502" s="2">
        <v>45845.5</v>
      </c>
      <c r="B4502">
        <f>4616.89021109977*(3/4)</f>
        <v>3462.6676583248272</v>
      </c>
    </row>
    <row r="4503" spans="1:2" x14ac:dyDescent="0.3">
      <c r="A4503" s="2">
        <v>45845.541666666657</v>
      </c>
      <c r="B4503">
        <f>4324.66371499354*(3/4)</f>
        <v>3243.4977862451551</v>
      </c>
    </row>
    <row r="4504" spans="1:2" x14ac:dyDescent="0.3">
      <c r="A4504" s="2">
        <v>45845.583333333343</v>
      </c>
      <c r="B4504">
        <f>3953.16846859138*(3/4)</f>
        <v>2964.8763514435373</v>
      </c>
    </row>
    <row r="4505" spans="1:2" x14ac:dyDescent="0.3">
      <c r="A4505" s="2">
        <v>45845.625</v>
      </c>
      <c r="B4505">
        <f>4436.88492645734*(3/4)</f>
        <v>3327.6636948430032</v>
      </c>
    </row>
    <row r="4506" spans="1:2" x14ac:dyDescent="0.3">
      <c r="A4506" s="2">
        <v>45845.666666666657</v>
      </c>
      <c r="B4506">
        <f>4357.0040533367*(3/4)</f>
        <v>3267.7530400025285</v>
      </c>
    </row>
    <row r="4507" spans="1:2" x14ac:dyDescent="0.3">
      <c r="A4507" s="2">
        <v>45845.708333333343</v>
      </c>
      <c r="B4507">
        <f>4349.01519312665*(3/4)</f>
        <v>3261.7613948449871</v>
      </c>
    </row>
    <row r="4508" spans="1:2" x14ac:dyDescent="0.3">
      <c r="A4508" s="2">
        <v>45845.75</v>
      </c>
      <c r="B4508">
        <f>3718.16919120562*(3/4)</f>
        <v>2788.6268934042128</v>
      </c>
    </row>
    <row r="4509" spans="1:2" x14ac:dyDescent="0.3">
      <c r="A4509" s="2">
        <v>45845.791666666657</v>
      </c>
      <c r="B4509">
        <f>4064.37100086052*(3/4)</f>
        <v>3048.2782506453923</v>
      </c>
    </row>
    <row r="4510" spans="1:2" x14ac:dyDescent="0.3">
      <c r="A4510" s="2">
        <v>45845.833333333343</v>
      </c>
      <c r="B4510">
        <f>4384.41552656754*(3/4)</f>
        <v>3288.3116449256559</v>
      </c>
    </row>
    <row r="4511" spans="1:2" x14ac:dyDescent="0.3">
      <c r="A4511" s="2">
        <v>45845.875</v>
      </c>
      <c r="B4511">
        <f>4067.17609897475*(3/4)</f>
        <v>3050.3820742310618</v>
      </c>
    </row>
    <row r="4512" spans="1:2" x14ac:dyDescent="0.3">
      <c r="A4512" s="2">
        <v>45845.916666666657</v>
      </c>
      <c r="B4512">
        <f>4066.86045008556*(3/4)</f>
        <v>3050.1453375641677</v>
      </c>
    </row>
    <row r="4513" spans="1:2" x14ac:dyDescent="0.3">
      <c r="A4513" s="2">
        <v>45845.958333333343</v>
      </c>
      <c r="B4513">
        <f>4060.84755331627*(3/4)</f>
        <v>3045.6356649871996</v>
      </c>
    </row>
    <row r="4514" spans="1:2" x14ac:dyDescent="0.3">
      <c r="A4514" s="2">
        <v>45846</v>
      </c>
      <c r="B4514">
        <f>3775.15151589519*(3/4)</f>
        <v>2831.3636369213932</v>
      </c>
    </row>
    <row r="4515" spans="1:2" x14ac:dyDescent="0.3">
      <c r="A4515" s="2">
        <v>45846.041666666657</v>
      </c>
      <c r="B4515">
        <f>4215.69447342986*(3/4)</f>
        <v>3161.7708550723974</v>
      </c>
    </row>
    <row r="4516" spans="1:2" x14ac:dyDescent="0.3">
      <c r="A4516" s="2">
        <v>45846.083333333343</v>
      </c>
      <c r="B4516">
        <f>4033.21147860149*(3/4)</f>
        <v>3024.9086089511184</v>
      </c>
    </row>
    <row r="4517" spans="1:2" x14ac:dyDescent="0.3">
      <c r="A4517" s="2">
        <v>45846.125</v>
      </c>
      <c r="B4517">
        <f>3903.00745675107*(3/4)</f>
        <v>2927.2555925633023</v>
      </c>
    </row>
    <row r="4518" spans="1:2" x14ac:dyDescent="0.3">
      <c r="A4518" s="2">
        <v>45846.166666666657</v>
      </c>
      <c r="B4518">
        <f>4120.68909047111*(3/4)</f>
        <v>3090.5168178533313</v>
      </c>
    </row>
    <row r="4519" spans="1:2" x14ac:dyDescent="0.3">
      <c r="A4519" s="2">
        <v>45846.208333333343</v>
      </c>
      <c r="B4519">
        <f>4138.14263677041*(3/4)</f>
        <v>3103.6069775778101</v>
      </c>
    </row>
    <row r="4520" spans="1:2" x14ac:dyDescent="0.3">
      <c r="A4520" s="2">
        <v>45846.25</v>
      </c>
      <c r="B4520">
        <f>3921.93002418106*(3/4)</f>
        <v>2941.4475181357957</v>
      </c>
    </row>
    <row r="4521" spans="1:2" x14ac:dyDescent="0.3">
      <c r="A4521" s="2">
        <v>45846.291666666657</v>
      </c>
      <c r="B4521">
        <f>4517.96340335429*(3/4)</f>
        <v>3388.4725525157173</v>
      </c>
    </row>
    <row r="4522" spans="1:2" x14ac:dyDescent="0.3">
      <c r="A4522" s="2">
        <v>45846.333333333343</v>
      </c>
      <c r="B4522">
        <f>4072.02172290672*(3/4)</f>
        <v>3054.0162921800384</v>
      </c>
    </row>
    <row r="4523" spans="1:2" x14ac:dyDescent="0.3">
      <c r="A4523" s="2">
        <v>45846.375</v>
      </c>
      <c r="B4523">
        <f>4095.66117999754*(3/4)</f>
        <v>3071.7458849981531</v>
      </c>
    </row>
    <row r="4524" spans="1:2" x14ac:dyDescent="0.3">
      <c r="A4524" s="2">
        <v>45846.416666666657</v>
      </c>
      <c r="B4524">
        <f>4196.41681077422*(3/4)</f>
        <v>3147.312608080666</v>
      </c>
    </row>
    <row r="4525" spans="1:2" x14ac:dyDescent="0.3">
      <c r="A4525" s="2">
        <v>45846.458333333343</v>
      </c>
      <c r="B4525">
        <f>4324.57780768793*(3/4)</f>
        <v>3243.4333557659506</v>
      </c>
    </row>
    <row r="4526" spans="1:2" x14ac:dyDescent="0.3">
      <c r="A4526" s="2">
        <v>45846.5</v>
      </c>
      <c r="B4526">
        <f>4497.23941759886*(3/4)</f>
        <v>3372.9295631991436</v>
      </c>
    </row>
    <row r="4527" spans="1:2" x14ac:dyDescent="0.3">
      <c r="A4527" s="2">
        <v>45846.541666666657</v>
      </c>
      <c r="B4527">
        <f>4339.35349262788*(3/4)</f>
        <v>3254.5151194709133</v>
      </c>
    </row>
    <row r="4528" spans="1:2" x14ac:dyDescent="0.3">
      <c r="A4528" s="2">
        <v>45846.583333333343</v>
      </c>
      <c r="B4528">
        <f>3891.11767494284*(3/4)</f>
        <v>2918.3382562071301</v>
      </c>
    </row>
    <row r="4529" spans="1:2" x14ac:dyDescent="0.3">
      <c r="A4529" s="2">
        <v>45846.625</v>
      </c>
      <c r="B4529">
        <f>4259.53987167135*(3/4)</f>
        <v>3194.6549037535115</v>
      </c>
    </row>
    <row r="4530" spans="1:2" x14ac:dyDescent="0.3">
      <c r="A4530" s="2">
        <v>45846.666666666657</v>
      </c>
      <c r="B4530">
        <f>4494.78920761765*(3/4)</f>
        <v>3371.0919057132396</v>
      </c>
    </row>
    <row r="4531" spans="1:2" x14ac:dyDescent="0.3">
      <c r="A4531" s="2">
        <v>45846.708333333343</v>
      </c>
      <c r="B4531">
        <f>4433.01589855422*(3/4)</f>
        <v>3324.7619239156675</v>
      </c>
    </row>
    <row r="4532" spans="1:2" x14ac:dyDescent="0.3">
      <c r="A4532" s="2">
        <v>45846.75</v>
      </c>
      <c r="B4532">
        <f>4456.11844652427*(3/4)</f>
        <v>3342.0888348932031</v>
      </c>
    </row>
    <row r="4533" spans="1:2" x14ac:dyDescent="0.3">
      <c r="A4533" s="2">
        <v>45846.791666666657</v>
      </c>
      <c r="B4533">
        <f>3991.68947895495*(3/4)</f>
        <v>2993.7671092162132</v>
      </c>
    </row>
    <row r="4534" spans="1:2" x14ac:dyDescent="0.3">
      <c r="A4534" s="2">
        <v>45846.833333333343</v>
      </c>
      <c r="B4534">
        <f>4360.35136889079*(3/4)</f>
        <v>3270.2635266680923</v>
      </c>
    </row>
    <row r="4535" spans="1:2" x14ac:dyDescent="0.3">
      <c r="A4535" s="2">
        <v>45846.875</v>
      </c>
      <c r="B4535">
        <f>4031.09458581584*(3/4)</f>
        <v>3023.3209393618827</v>
      </c>
    </row>
    <row r="4536" spans="1:2" x14ac:dyDescent="0.3">
      <c r="A4536" s="2">
        <v>45846.916666666657</v>
      </c>
      <c r="B4536">
        <f>3926.52830634644*(3/4)</f>
        <v>2944.8962297598323</v>
      </c>
    </row>
    <row r="4537" spans="1:2" x14ac:dyDescent="0.3">
      <c r="A4537" s="2">
        <v>45846.958333333343</v>
      </c>
      <c r="B4537">
        <f>3912.58843292178*(3/4)</f>
        <v>2934.4413246913359</v>
      </c>
    </row>
    <row r="4538" spans="1:2" x14ac:dyDescent="0.3">
      <c r="A4538" s="2">
        <v>45847</v>
      </c>
      <c r="B4538">
        <f>4128.51070594009*(3/4)</f>
        <v>3096.3830294550708</v>
      </c>
    </row>
    <row r="4539" spans="1:2" x14ac:dyDescent="0.3">
      <c r="A4539" s="2">
        <v>45847.041666666657</v>
      </c>
      <c r="B4539">
        <f>3972.73676507393*(3/4)</f>
        <v>2979.5525738054489</v>
      </c>
    </row>
    <row r="4540" spans="1:2" x14ac:dyDescent="0.3">
      <c r="A4540" s="2">
        <v>45847.083333333343</v>
      </c>
      <c r="B4540">
        <f>4339.62454856606*(3/4)</f>
        <v>3254.7184114245451</v>
      </c>
    </row>
    <row r="4541" spans="1:2" x14ac:dyDescent="0.3">
      <c r="A4541" s="2">
        <v>45847.125</v>
      </c>
      <c r="B4541">
        <f>4290.53920972605*(3/4)</f>
        <v>3217.9044072945389</v>
      </c>
    </row>
    <row r="4542" spans="1:2" x14ac:dyDescent="0.3">
      <c r="A4542" s="2">
        <v>45847.166666666657</v>
      </c>
      <c r="B4542">
        <f>4370.2678641418*(3/4)</f>
        <v>3277.7008981063482</v>
      </c>
    </row>
    <row r="4543" spans="1:2" x14ac:dyDescent="0.3">
      <c r="A4543" s="2">
        <v>45847.208333333343</v>
      </c>
      <c r="B4543">
        <f>3977.45052847261*(3/4)</f>
        <v>2983.0878963544546</v>
      </c>
    </row>
    <row r="4544" spans="1:2" x14ac:dyDescent="0.3">
      <c r="A4544" s="2">
        <v>45847.25</v>
      </c>
      <c r="B4544">
        <f>3832.60492640356*(3/4)</f>
        <v>2874.4536948026707</v>
      </c>
    </row>
    <row r="4545" spans="1:2" x14ac:dyDescent="0.3">
      <c r="A4545" s="2">
        <v>45847.291666666657</v>
      </c>
      <c r="B4545">
        <f>4397.90409243553*(3/4)</f>
        <v>3298.4280693266492</v>
      </c>
    </row>
    <row r="4546" spans="1:2" x14ac:dyDescent="0.3">
      <c r="A4546" s="2">
        <v>45847.333333333343</v>
      </c>
      <c r="B4546">
        <f>4434.81468332113*(3/4)</f>
        <v>3326.1110124908473</v>
      </c>
    </row>
    <row r="4547" spans="1:2" x14ac:dyDescent="0.3">
      <c r="A4547" s="2">
        <v>45847.375</v>
      </c>
      <c r="B4547">
        <f>4373.38966292606*(3/4)</f>
        <v>3280.0422471945435</v>
      </c>
    </row>
    <row r="4548" spans="1:2" x14ac:dyDescent="0.3">
      <c r="A4548" s="2">
        <v>45847.416666666657</v>
      </c>
      <c r="B4548">
        <f>4254.94811128718*(3/4)</f>
        <v>3191.2110834653831</v>
      </c>
    </row>
    <row r="4549" spans="1:2" x14ac:dyDescent="0.3">
      <c r="A4549" s="2">
        <v>45847.458333333343</v>
      </c>
      <c r="B4549">
        <f>4269.77221969729*(3/4)</f>
        <v>3202.3291647729675</v>
      </c>
    </row>
    <row r="4550" spans="1:2" x14ac:dyDescent="0.3">
      <c r="A4550" s="2">
        <v>45847.5</v>
      </c>
      <c r="B4550">
        <f>4324.61831942188*(3/4)</f>
        <v>3243.4637395664095</v>
      </c>
    </row>
    <row r="4551" spans="1:2" x14ac:dyDescent="0.3">
      <c r="A4551" s="2">
        <v>45847.541666666657</v>
      </c>
      <c r="B4551">
        <f>4492.59516758809*(3/4)</f>
        <v>3369.4463756910682</v>
      </c>
    </row>
    <row r="4552" spans="1:2" x14ac:dyDescent="0.3">
      <c r="A4552" s="2">
        <v>45847.583333333343</v>
      </c>
      <c r="B4552">
        <f>3770.21658100783*(3/4)</f>
        <v>2827.662435755873</v>
      </c>
    </row>
    <row r="4553" spans="1:2" x14ac:dyDescent="0.3">
      <c r="A4553" s="2">
        <v>45847.625</v>
      </c>
      <c r="B4553">
        <f>4281.71638766428*(3/4)</f>
        <v>3211.2872907482115</v>
      </c>
    </row>
    <row r="4554" spans="1:2" x14ac:dyDescent="0.3">
      <c r="A4554" s="2">
        <v>45847.666666666657</v>
      </c>
      <c r="B4554">
        <f>4575.54003160813*(3/4)</f>
        <v>3431.6550237060992</v>
      </c>
    </row>
    <row r="4555" spans="1:2" x14ac:dyDescent="0.3">
      <c r="A4555" s="2">
        <v>45847.708333333343</v>
      </c>
      <c r="B4555">
        <f>4483.60299382734*(3/4)</f>
        <v>3362.7022453705026</v>
      </c>
    </row>
    <row r="4556" spans="1:2" x14ac:dyDescent="0.3">
      <c r="A4556" s="2">
        <v>45847.75</v>
      </c>
      <c r="B4556">
        <f>4159.97645639087*(3/4)</f>
        <v>3119.9823422931522</v>
      </c>
    </row>
    <row r="4557" spans="1:2" x14ac:dyDescent="0.3">
      <c r="A4557" s="2">
        <v>45847.791666666657</v>
      </c>
      <c r="B4557">
        <f>4373.29948501085*(3/4)</f>
        <v>3279.9746137581405</v>
      </c>
    </row>
    <row r="4558" spans="1:2" x14ac:dyDescent="0.3">
      <c r="A4558" s="2">
        <v>45847.833333333343</v>
      </c>
      <c r="B4558">
        <f>4552.64363064052*(3/4)</f>
        <v>3414.4827229803882</v>
      </c>
    </row>
    <row r="4559" spans="1:2" x14ac:dyDescent="0.3">
      <c r="A4559" s="2">
        <v>45847.875</v>
      </c>
      <c r="B4559">
        <f>4155.8127765758*(3/4)</f>
        <v>3116.8595824318518</v>
      </c>
    </row>
    <row r="4560" spans="1:2" x14ac:dyDescent="0.3">
      <c r="A4560" s="2">
        <v>45847.916666666657</v>
      </c>
      <c r="B4560">
        <f>4116.38328175612*(3/4)</f>
        <v>3087.2874613170925</v>
      </c>
    </row>
    <row r="4561" spans="1:2" x14ac:dyDescent="0.3">
      <c r="A4561" s="2">
        <v>45847.958333333343</v>
      </c>
      <c r="B4561">
        <f>4016.15256135409*(3/4)</f>
        <v>3012.1144210155662</v>
      </c>
    </row>
    <row r="4562" spans="1:2" x14ac:dyDescent="0.3">
      <c r="A4562" s="2">
        <v>45848</v>
      </c>
      <c r="B4562">
        <f>3710.33965425405*(3/4)</f>
        <v>2782.7547406905373</v>
      </c>
    </row>
    <row r="4563" spans="1:2" x14ac:dyDescent="0.3">
      <c r="A4563" s="2">
        <v>45848.041666666657</v>
      </c>
      <c r="B4563">
        <f>3928.12349345701*(3/4)</f>
        <v>2946.0926200927584</v>
      </c>
    </row>
    <row r="4564" spans="1:2" x14ac:dyDescent="0.3">
      <c r="A4564" s="2">
        <v>45848.083333333343</v>
      </c>
      <c r="B4564">
        <f>4201.0222375238*(3/4)</f>
        <v>3150.766678142847</v>
      </c>
    </row>
    <row r="4565" spans="1:2" x14ac:dyDescent="0.3">
      <c r="A4565" s="2">
        <v>45848.125</v>
      </c>
      <c r="B4565">
        <f>4097.50512878153*(3/4)</f>
        <v>3073.1288465861508</v>
      </c>
    </row>
    <row r="4566" spans="1:2" x14ac:dyDescent="0.3">
      <c r="A4566" s="2">
        <v>45848.166666666657</v>
      </c>
      <c r="B4566">
        <f>3839.82166129674*(3/4)</f>
        <v>2879.8662459725529</v>
      </c>
    </row>
    <row r="4567" spans="1:2" x14ac:dyDescent="0.3">
      <c r="A4567" s="2">
        <v>45848.208333333343</v>
      </c>
      <c r="B4567">
        <f>4352.27428864067*(3/4)</f>
        <v>3264.2057164805055</v>
      </c>
    </row>
    <row r="4568" spans="1:2" x14ac:dyDescent="0.3">
      <c r="A4568" s="2">
        <v>45848.25</v>
      </c>
      <c r="B4568">
        <f>4152.13798002006*(3/4)</f>
        <v>3114.1034850150427</v>
      </c>
    </row>
    <row r="4569" spans="1:2" x14ac:dyDescent="0.3">
      <c r="A4569" s="2">
        <v>45848.291666666657</v>
      </c>
      <c r="B4569">
        <f>4349.5128865438*(3/4)</f>
        <v>3262.1346649078473</v>
      </c>
    </row>
    <row r="4570" spans="1:2" x14ac:dyDescent="0.3">
      <c r="A4570" s="2">
        <v>45848.333333333343</v>
      </c>
      <c r="B4570">
        <f>4405.52199884174*(3/4)</f>
        <v>3304.1414991313045</v>
      </c>
    </row>
    <row r="4571" spans="1:2" x14ac:dyDescent="0.3">
      <c r="A4571" s="2">
        <v>45848.375</v>
      </c>
      <c r="B4571">
        <f>4430.74599473182*(3/4)</f>
        <v>3323.0594960488638</v>
      </c>
    </row>
    <row r="4572" spans="1:2" x14ac:dyDescent="0.3">
      <c r="A4572" s="2">
        <v>45848.416666666657</v>
      </c>
      <c r="B4572">
        <f>4135.85024260356*(3/4)</f>
        <v>3101.8876819526677</v>
      </c>
    </row>
    <row r="4573" spans="1:2" x14ac:dyDescent="0.3">
      <c r="A4573" s="2">
        <v>45848.458333333343</v>
      </c>
      <c r="B4573">
        <f>4378.67545377135*(3/4)</f>
        <v>3284.0065903285135</v>
      </c>
    </row>
    <row r="4574" spans="1:2" x14ac:dyDescent="0.3">
      <c r="A4574" s="2">
        <v>45848.5</v>
      </c>
      <c r="B4574">
        <f>4534.57165145638*(3/4)</f>
        <v>3400.9287385922844</v>
      </c>
    </row>
    <row r="4575" spans="1:2" x14ac:dyDescent="0.3">
      <c r="A4575" s="2">
        <v>45848.541666666657</v>
      </c>
      <c r="B4575">
        <f>4277.93880461062*(3/4)</f>
        <v>3208.4541034579624</v>
      </c>
    </row>
    <row r="4576" spans="1:2" x14ac:dyDescent="0.3">
      <c r="A4576" s="2">
        <v>45848.583333333343</v>
      </c>
      <c r="B4576">
        <f>3902.93669650041*(3/4)</f>
        <v>2927.2025223753108</v>
      </c>
    </row>
    <row r="4577" spans="1:2" x14ac:dyDescent="0.3">
      <c r="A4577" s="2">
        <v>45848.625</v>
      </c>
      <c r="B4577">
        <f>4461.41280563538*(3/4)</f>
        <v>3346.0596042265379</v>
      </c>
    </row>
    <row r="4578" spans="1:2" x14ac:dyDescent="0.3">
      <c r="A4578" s="2">
        <v>45848.666666666657</v>
      </c>
      <c r="B4578">
        <f>4174.24910987958*(3/4)</f>
        <v>3130.6868324096858</v>
      </c>
    </row>
    <row r="4579" spans="1:2" x14ac:dyDescent="0.3">
      <c r="A4579" s="2">
        <v>45848.708333333343</v>
      </c>
      <c r="B4579">
        <f>3990.59586136684*(3/4)</f>
        <v>2992.9468960251288</v>
      </c>
    </row>
    <row r="4580" spans="1:2" x14ac:dyDescent="0.3">
      <c r="A4580" s="2">
        <v>45848.75</v>
      </c>
      <c r="B4580">
        <f>4390.05336984077*(3/4)</f>
        <v>3292.5400273805762</v>
      </c>
    </row>
    <row r="4581" spans="1:2" x14ac:dyDescent="0.3">
      <c r="A4581" s="2">
        <v>45848.791666666657</v>
      </c>
      <c r="B4581">
        <f>4317.52337396806*(3/4)</f>
        <v>3238.1425304760423</v>
      </c>
    </row>
    <row r="4582" spans="1:2" x14ac:dyDescent="0.3">
      <c r="A4582" s="2">
        <v>45848.833333333343</v>
      </c>
      <c r="B4582">
        <f>4526.48822201341*(3/4)</f>
        <v>3394.8661665100558</v>
      </c>
    </row>
    <row r="4583" spans="1:2" x14ac:dyDescent="0.3">
      <c r="A4583" s="2">
        <v>45848.875</v>
      </c>
      <c r="B4583">
        <f>4242.9937821365*(3/4)</f>
        <v>3182.2453366023747</v>
      </c>
    </row>
    <row r="4584" spans="1:2" x14ac:dyDescent="0.3">
      <c r="A4584" s="2">
        <v>45848.916666666657</v>
      </c>
      <c r="B4584">
        <f>4214.36583028975*(3/4)</f>
        <v>3160.774372717312</v>
      </c>
    </row>
    <row r="4585" spans="1:2" x14ac:dyDescent="0.3">
      <c r="A4585" s="2">
        <v>45848.958333333343</v>
      </c>
      <c r="B4585">
        <f>4181.45175209356*(3/4)</f>
        <v>3136.0888140701704</v>
      </c>
    </row>
    <row r="4586" spans="1:2" x14ac:dyDescent="0.3">
      <c r="A4586" s="2">
        <v>45849</v>
      </c>
      <c r="B4586">
        <f>4472.34464427063*(3/4)</f>
        <v>3354.2584832029715</v>
      </c>
    </row>
    <row r="4587" spans="1:2" x14ac:dyDescent="0.3">
      <c r="A4587" s="2">
        <v>45849.041666666657</v>
      </c>
      <c r="B4587">
        <f>4186.0539692589*(3/4)</f>
        <v>3139.5404769441757</v>
      </c>
    </row>
    <row r="4588" spans="1:2" x14ac:dyDescent="0.3">
      <c r="A4588" s="2">
        <v>45849.083333333343</v>
      </c>
      <c r="B4588">
        <f>4266.49020216871*(3/4)</f>
        <v>3199.8676516265305</v>
      </c>
    </row>
    <row r="4589" spans="1:2" x14ac:dyDescent="0.3">
      <c r="A4589" s="2">
        <v>45849.125</v>
      </c>
      <c r="B4589">
        <f>4051.2672402039*(3/4)</f>
        <v>3038.4504301529264</v>
      </c>
    </row>
    <row r="4590" spans="1:2" x14ac:dyDescent="0.3">
      <c r="A4590" s="2">
        <v>45849.166666666657</v>
      </c>
      <c r="B4590">
        <f>4218.14658121869*(3/4)</f>
        <v>3163.6099359140153</v>
      </c>
    </row>
    <row r="4591" spans="1:2" x14ac:dyDescent="0.3">
      <c r="A4591" s="2">
        <v>45849.208333333343</v>
      </c>
      <c r="B4591">
        <f>3916.36509364261*(3/4)</f>
        <v>2937.2738202319561</v>
      </c>
    </row>
    <row r="4592" spans="1:2" x14ac:dyDescent="0.3">
      <c r="A4592" s="2">
        <v>45849.25</v>
      </c>
      <c r="B4592">
        <f>3768.24201152124*(3/4)</f>
        <v>2826.1815086409292</v>
      </c>
    </row>
    <row r="4593" spans="1:2" x14ac:dyDescent="0.3">
      <c r="A4593" s="2">
        <v>45849.291666666657</v>
      </c>
      <c r="B4593">
        <f>4191.96585070299*(3/4)</f>
        <v>3143.9743880272431</v>
      </c>
    </row>
    <row r="4594" spans="1:2" x14ac:dyDescent="0.3">
      <c r="A4594" s="2">
        <v>45849.333333333343</v>
      </c>
      <c r="B4594">
        <f>4164.3579093543*(3/4)</f>
        <v>3123.268432015725</v>
      </c>
    </row>
    <row r="4595" spans="1:2" x14ac:dyDescent="0.3">
      <c r="A4595" s="2">
        <v>45849.375</v>
      </c>
      <c r="B4595">
        <f>4149.87506059392*(3/4)</f>
        <v>3112.4062954454439</v>
      </c>
    </row>
    <row r="4596" spans="1:2" x14ac:dyDescent="0.3">
      <c r="A4596" s="2">
        <v>45849.416666666657</v>
      </c>
      <c r="B4596">
        <f>4169.55060887391*(3/4)</f>
        <v>3127.162956655432</v>
      </c>
    </row>
    <row r="4597" spans="1:2" x14ac:dyDescent="0.3">
      <c r="A4597" s="2">
        <v>45849.458333333343</v>
      </c>
      <c r="B4597">
        <f>4067.37769499969*(3/4)</f>
        <v>3050.5332712497652</v>
      </c>
    </row>
    <row r="4598" spans="1:2" x14ac:dyDescent="0.3">
      <c r="A4598" s="2">
        <v>45849.5</v>
      </c>
      <c r="B4598">
        <f>4800*(3/4)</f>
        <v>3600</v>
      </c>
    </row>
    <row r="4599" spans="1:2" x14ac:dyDescent="0.3">
      <c r="A4599" s="2">
        <v>45849.541666666657</v>
      </c>
      <c r="B4599">
        <f>4497.49066783083*(3/4)</f>
        <v>3373.1180008731258</v>
      </c>
    </row>
    <row r="4600" spans="1:2" x14ac:dyDescent="0.3">
      <c r="A4600" s="2">
        <v>45849.583333333343</v>
      </c>
      <c r="B4600">
        <f>4064.05216681102*(3/4)</f>
        <v>3048.039125108261</v>
      </c>
    </row>
    <row r="4601" spans="1:2" x14ac:dyDescent="0.3">
      <c r="A4601" s="2">
        <v>45849.625</v>
      </c>
      <c r="B4601">
        <f>4102.55114204166*(3/4)</f>
        <v>3076.9133565312468</v>
      </c>
    </row>
    <row r="4602" spans="1:2" x14ac:dyDescent="0.3">
      <c r="A4602" s="2">
        <v>45849.666666666657</v>
      </c>
      <c r="B4602">
        <f>4240.78673354041*(3/4)</f>
        <v>3180.5900501553087</v>
      </c>
    </row>
    <row r="4603" spans="1:2" x14ac:dyDescent="0.3">
      <c r="A4603" s="2">
        <v>45849.708333333343</v>
      </c>
      <c r="B4603">
        <f>4293.45816806561*(3/4)</f>
        <v>3220.0936260492108</v>
      </c>
    </row>
    <row r="4604" spans="1:2" x14ac:dyDescent="0.3">
      <c r="A4604" s="2">
        <v>45849.75</v>
      </c>
      <c r="B4604">
        <f>4290.50988424361*(3/4)</f>
        <v>3217.8824131827087</v>
      </c>
    </row>
    <row r="4605" spans="1:2" x14ac:dyDescent="0.3">
      <c r="A4605" s="2">
        <v>45849.791666666657</v>
      </c>
      <c r="B4605">
        <f>4444.26857788908*(3/4)</f>
        <v>3333.201433416808</v>
      </c>
    </row>
    <row r="4606" spans="1:2" x14ac:dyDescent="0.3">
      <c r="A4606" s="2">
        <v>45849.833333333343</v>
      </c>
      <c r="B4606">
        <f>4398.11828365494*(3/4)</f>
        <v>3298.5887127412016</v>
      </c>
    </row>
    <row r="4607" spans="1:2" x14ac:dyDescent="0.3">
      <c r="A4607" s="2">
        <v>45849.875</v>
      </c>
      <c r="B4607">
        <f>3989.82847591468*(3/4)</f>
        <v>2992.3713569360107</v>
      </c>
    </row>
    <row r="4608" spans="1:2" x14ac:dyDescent="0.3">
      <c r="A4608" s="2">
        <v>45849.916666666657</v>
      </c>
      <c r="B4608">
        <f>3862.62884421434*(3/4)</f>
        <v>2896.9716331607519</v>
      </c>
    </row>
    <row r="4609" spans="1:2" x14ac:dyDescent="0.3">
      <c r="A4609" s="2">
        <v>45849.958333333343</v>
      </c>
      <c r="B4609">
        <f>4219.20503162416*(3/4)</f>
        <v>3164.4037737181188</v>
      </c>
    </row>
    <row r="4610" spans="1:2" x14ac:dyDescent="0.3">
      <c r="A4610" s="2">
        <v>45850</v>
      </c>
      <c r="B4610">
        <f>4055.96469687842*(3/4)</f>
        <v>3041.9735226588118</v>
      </c>
    </row>
    <row r="4611" spans="1:2" x14ac:dyDescent="0.3">
      <c r="A4611" s="2">
        <v>45850.041666666657</v>
      </c>
      <c r="B4611">
        <f>4223.11114389108*(3/4)</f>
        <v>3167.3333579183136</v>
      </c>
    </row>
    <row r="4612" spans="1:2" x14ac:dyDescent="0.3">
      <c r="A4612" s="2">
        <v>45850.083333333343</v>
      </c>
      <c r="B4612">
        <f>3951.56329303634*(3/4)</f>
        <v>2963.6724697772588</v>
      </c>
    </row>
    <row r="4613" spans="1:2" x14ac:dyDescent="0.3">
      <c r="A4613" s="2">
        <v>45850.125</v>
      </c>
      <c r="B4613">
        <f>4136.03869812692*(3/4)</f>
        <v>3102.029023595187</v>
      </c>
    </row>
    <row r="4614" spans="1:2" x14ac:dyDescent="0.3">
      <c r="A4614" s="2">
        <v>45850.166666666657</v>
      </c>
      <c r="B4614">
        <f>3926.40395973747*(3/4)</f>
        <v>2944.8029698031019</v>
      </c>
    </row>
    <row r="4615" spans="1:2" x14ac:dyDescent="0.3">
      <c r="A4615" s="2">
        <v>45850.208333333343</v>
      </c>
      <c r="B4615">
        <f>4174.25583187149*(3/4)</f>
        <v>3130.69187390362</v>
      </c>
    </row>
    <row r="4616" spans="1:2" x14ac:dyDescent="0.3">
      <c r="A4616" s="2">
        <v>45850.25</v>
      </c>
      <c r="B4616">
        <f>3790.40626455449*(3/4)</f>
        <v>2842.8046984158705</v>
      </c>
    </row>
    <row r="4617" spans="1:2" x14ac:dyDescent="0.3">
      <c r="A4617" s="2">
        <v>45850.291666666657</v>
      </c>
      <c r="B4617">
        <f>4409.46485908551*(3/4)</f>
        <v>3307.0986443141314</v>
      </c>
    </row>
    <row r="4618" spans="1:2" x14ac:dyDescent="0.3">
      <c r="A4618" s="2">
        <v>45850.333333333343</v>
      </c>
      <c r="B4618">
        <f>4154.65067497966*(3/4)</f>
        <v>3115.9880062347465</v>
      </c>
    </row>
    <row r="4619" spans="1:2" x14ac:dyDescent="0.3">
      <c r="A4619" s="2">
        <v>45850.375</v>
      </c>
      <c r="B4619">
        <f>4349.54185512065*(3/4)</f>
        <v>3262.1563913404843</v>
      </c>
    </row>
    <row r="4620" spans="1:2" x14ac:dyDescent="0.3">
      <c r="A4620" s="2">
        <v>45850.416666666657</v>
      </c>
      <c r="B4620">
        <f>4008.39167207794*(3/4)</f>
        <v>3006.2937540584521</v>
      </c>
    </row>
    <row r="4621" spans="1:2" x14ac:dyDescent="0.3">
      <c r="A4621" s="2">
        <v>45850.458333333343</v>
      </c>
      <c r="B4621">
        <f>4486.77285016291*(3/4)</f>
        <v>3365.0796376221833</v>
      </c>
    </row>
    <row r="4622" spans="1:2" x14ac:dyDescent="0.3">
      <c r="A4622" s="2">
        <v>45850.5</v>
      </c>
      <c r="B4622">
        <f>4173.71424272766*(3/4)</f>
        <v>3130.2856820457455</v>
      </c>
    </row>
    <row r="4623" spans="1:2" x14ac:dyDescent="0.3">
      <c r="A4623" s="2">
        <v>45850.541666666657</v>
      </c>
      <c r="B4623">
        <f>4343.10499283121*(3/4)</f>
        <v>3257.3287446234108</v>
      </c>
    </row>
    <row r="4624" spans="1:2" x14ac:dyDescent="0.3">
      <c r="A4624" s="2">
        <v>45850.583333333343</v>
      </c>
      <c r="B4624">
        <f>3971.1183488729*(3/4)</f>
        <v>2978.3387616546779</v>
      </c>
    </row>
    <row r="4625" spans="1:2" x14ac:dyDescent="0.3">
      <c r="A4625" s="2">
        <v>45850.625</v>
      </c>
      <c r="B4625">
        <f>4148.36551177182*(3/4)</f>
        <v>3111.2741338288629</v>
      </c>
    </row>
    <row r="4626" spans="1:2" x14ac:dyDescent="0.3">
      <c r="A4626" s="2">
        <v>45850.666666666657</v>
      </c>
      <c r="B4626">
        <f>4175.94856768369*(3/4)</f>
        <v>3131.9614257627682</v>
      </c>
    </row>
    <row r="4627" spans="1:2" x14ac:dyDescent="0.3">
      <c r="A4627" s="2">
        <v>45850.708333333343</v>
      </c>
      <c r="B4627">
        <f>4096.11833442157*(3/4)</f>
        <v>3072.0887508161777</v>
      </c>
    </row>
    <row r="4628" spans="1:2" x14ac:dyDescent="0.3">
      <c r="A4628" s="2">
        <v>45850.75</v>
      </c>
      <c r="B4628">
        <f>4168.10293260957*(3/4)</f>
        <v>3126.0771994571792</v>
      </c>
    </row>
    <row r="4629" spans="1:2" x14ac:dyDescent="0.3">
      <c r="A4629" s="2">
        <v>45850.791666666657</v>
      </c>
      <c r="B4629">
        <f>4479.29254172561*(3/4)</f>
        <v>3359.4694062942044</v>
      </c>
    </row>
    <row r="4630" spans="1:2" x14ac:dyDescent="0.3">
      <c r="A4630" s="2">
        <v>45850.833333333343</v>
      </c>
      <c r="B4630">
        <f>4259.27249654674*(3/4)</f>
        <v>3194.4543724100549</v>
      </c>
    </row>
    <row r="4631" spans="1:2" x14ac:dyDescent="0.3">
      <c r="A4631" s="2">
        <v>45850.875</v>
      </c>
      <c r="B4631">
        <f>4320.1257668406*(3/4)</f>
        <v>3240.0943251304479</v>
      </c>
    </row>
    <row r="4632" spans="1:2" x14ac:dyDescent="0.3">
      <c r="A4632" s="2">
        <v>45850.916666666657</v>
      </c>
      <c r="B4632">
        <f>4126.03625872696*(3/4)</f>
        <v>3094.5271940452235</v>
      </c>
    </row>
    <row r="4633" spans="1:2" x14ac:dyDescent="0.3">
      <c r="A4633" s="2">
        <v>45850.958333333343</v>
      </c>
      <c r="B4633">
        <f>4264.17363071491*(3/4)</f>
        <v>3198.1302230361821</v>
      </c>
    </row>
    <row r="4634" spans="1:2" x14ac:dyDescent="0.3">
      <c r="A4634" s="2">
        <v>45851</v>
      </c>
      <c r="B4634">
        <f>3253.29177785195*(3/4)</f>
        <v>2439.9688333889626</v>
      </c>
    </row>
    <row r="4635" spans="1:2" x14ac:dyDescent="0.3">
      <c r="A4635" s="2">
        <v>45851.041666666657</v>
      </c>
      <c r="B4635">
        <f>4158.55198527705*(3/4)</f>
        <v>3118.9139889577891</v>
      </c>
    </row>
    <row r="4636" spans="1:2" x14ac:dyDescent="0.3">
      <c r="A4636" s="2">
        <v>45851.083333333343</v>
      </c>
      <c r="B4636">
        <f>3847.93308742514*(3/4)</f>
        <v>2885.9498155688552</v>
      </c>
    </row>
    <row r="4637" spans="1:2" x14ac:dyDescent="0.3">
      <c r="A4637" s="2">
        <v>45851.125</v>
      </c>
      <c r="B4637">
        <f>4268.98245074564*(3/4)</f>
        <v>3201.736838059227</v>
      </c>
    </row>
    <row r="4638" spans="1:2" x14ac:dyDescent="0.3">
      <c r="A4638" s="2">
        <v>45851.166666666657</v>
      </c>
      <c r="B4638">
        <f>4035.14502514439*(3/4)</f>
        <v>3026.3587688582897</v>
      </c>
    </row>
    <row r="4639" spans="1:2" x14ac:dyDescent="0.3">
      <c r="A4639" s="2">
        <v>45851.208333333343</v>
      </c>
      <c r="B4639">
        <f>4106.10193885396*(3/4)</f>
        <v>3079.5764541404715</v>
      </c>
    </row>
    <row r="4640" spans="1:2" x14ac:dyDescent="0.3">
      <c r="A4640" s="2">
        <v>45851.25</v>
      </c>
      <c r="B4640">
        <f>4100.37919314173*(3/4)</f>
        <v>3075.2843948562968</v>
      </c>
    </row>
    <row r="4641" spans="1:2" x14ac:dyDescent="0.3">
      <c r="A4641" s="2">
        <v>45851.291666666657</v>
      </c>
      <c r="B4641">
        <f>4110.49254613687*(3/4)</f>
        <v>3082.8694096026502</v>
      </c>
    </row>
    <row r="4642" spans="1:2" x14ac:dyDescent="0.3">
      <c r="A4642" s="2">
        <v>45851.333333333343</v>
      </c>
      <c r="B4642">
        <f>3316.9228668459*(3/4)</f>
        <v>2487.6921501344241</v>
      </c>
    </row>
    <row r="4643" spans="1:2" x14ac:dyDescent="0.3">
      <c r="A4643" s="2">
        <v>45851.375</v>
      </c>
      <c r="B4643">
        <f>3414.80024893909*(3/4)</f>
        <v>2561.1001867043178</v>
      </c>
    </row>
    <row r="4644" spans="1:2" x14ac:dyDescent="0.3">
      <c r="A4644" s="2">
        <v>45851.416666666657</v>
      </c>
      <c r="B4644">
        <f>3371.25065222081*(3/4)</f>
        <v>2528.4379891656076</v>
      </c>
    </row>
    <row r="4645" spans="1:2" x14ac:dyDescent="0.3">
      <c r="A4645" s="2">
        <v>45851.458333333343</v>
      </c>
      <c r="B4645">
        <f>3674.25451266949*(3/4)</f>
        <v>2755.6908845021189</v>
      </c>
    </row>
    <row r="4646" spans="1:2" x14ac:dyDescent="0.3">
      <c r="A4646" s="2">
        <v>45851.5</v>
      </c>
      <c r="B4646">
        <f>3322.01595316687*(3/4)</f>
        <v>2491.5119648751506</v>
      </c>
    </row>
    <row r="4647" spans="1:2" x14ac:dyDescent="0.3">
      <c r="A4647" s="2">
        <v>45851.541666666657</v>
      </c>
      <c r="B4647">
        <f>3295.4711592239*(3/4)</f>
        <v>2471.6033694179259</v>
      </c>
    </row>
    <row r="4648" spans="1:2" x14ac:dyDescent="0.3">
      <c r="A4648" s="2">
        <v>45851.583333333343</v>
      </c>
      <c r="B4648">
        <f>3004.22725618779*(3/4)</f>
        <v>2253.170442140844</v>
      </c>
    </row>
    <row r="4649" spans="1:2" x14ac:dyDescent="0.3">
      <c r="A4649" s="2">
        <v>45851.625</v>
      </c>
      <c r="B4649">
        <f>3424.72007528612*(3/4)</f>
        <v>2568.5400564645915</v>
      </c>
    </row>
    <row r="4650" spans="1:2" x14ac:dyDescent="0.3">
      <c r="A4650" s="2">
        <v>45851.666666666657</v>
      </c>
      <c r="B4650">
        <f>3604.14339624315*(3/4)</f>
        <v>2703.1075471823615</v>
      </c>
    </row>
    <row r="4651" spans="1:2" x14ac:dyDescent="0.3">
      <c r="A4651" s="2">
        <v>45851.708333333343</v>
      </c>
      <c r="B4651">
        <f>4055.51243950393*(3/4)</f>
        <v>3041.634329627946</v>
      </c>
    </row>
    <row r="4652" spans="1:2" x14ac:dyDescent="0.3">
      <c r="A4652" s="2">
        <v>45851.75</v>
      </c>
      <c r="B4652">
        <f>4137.09743759223*(3/4)</f>
        <v>3102.8230781941693</v>
      </c>
    </row>
    <row r="4653" spans="1:2" x14ac:dyDescent="0.3">
      <c r="A4653" s="2">
        <v>45851.791666666657</v>
      </c>
      <c r="B4653">
        <f>4347.22111872077*(3/4)</f>
        <v>3260.4158390405746</v>
      </c>
    </row>
    <row r="4654" spans="1:2" x14ac:dyDescent="0.3">
      <c r="A4654" s="2">
        <v>45851.833333333343</v>
      </c>
      <c r="B4654">
        <f>4216.6449459842*(3/4)</f>
        <v>3162.4837094881532</v>
      </c>
    </row>
    <row r="4655" spans="1:2" x14ac:dyDescent="0.3">
      <c r="A4655" s="2">
        <v>45851.875</v>
      </c>
      <c r="B4655">
        <f>4267.34507206636*(3/4)</f>
        <v>3200.508804049774</v>
      </c>
    </row>
    <row r="4656" spans="1:2" x14ac:dyDescent="0.3">
      <c r="A4656" s="2">
        <v>45851.916666666657</v>
      </c>
      <c r="B4656">
        <f>4055.43024978415*(3/4)</f>
        <v>3041.5726873381127</v>
      </c>
    </row>
    <row r="4657" spans="1:2" x14ac:dyDescent="0.3">
      <c r="A4657" s="2">
        <v>45851.958333333343</v>
      </c>
      <c r="B4657">
        <f>4094.1113008689*(3/4)</f>
        <v>3070.5834756516765</v>
      </c>
    </row>
    <row r="4658" spans="1:2" x14ac:dyDescent="0.3">
      <c r="A4658" s="2">
        <v>45852</v>
      </c>
      <c r="B4658">
        <f>4004.00696854468*(3/4)</f>
        <v>3003.005226408512</v>
      </c>
    </row>
    <row r="4659" spans="1:2" x14ac:dyDescent="0.3">
      <c r="A4659" s="2">
        <v>45852.041666666657</v>
      </c>
      <c r="B4659">
        <f>4084.15041487966*(3/4)</f>
        <v>3063.1128111597436</v>
      </c>
    </row>
    <row r="4660" spans="1:2" x14ac:dyDescent="0.3">
      <c r="A4660" s="2">
        <v>45852.083333333343</v>
      </c>
      <c r="B4660">
        <f>4027.43608903436*(3/4)</f>
        <v>3020.577066775767</v>
      </c>
    </row>
    <row r="4661" spans="1:2" x14ac:dyDescent="0.3">
      <c r="A4661" s="2">
        <v>45852.125</v>
      </c>
      <c r="B4661">
        <f>4297.60409760548*(3/4)</f>
        <v>3223.2030732041076</v>
      </c>
    </row>
    <row r="4662" spans="1:2" x14ac:dyDescent="0.3">
      <c r="A4662" s="2">
        <v>45852.166666666657</v>
      </c>
      <c r="B4662">
        <f>4181.34246372512*(3/4)</f>
        <v>3136.006847793843</v>
      </c>
    </row>
    <row r="4663" spans="1:2" x14ac:dyDescent="0.3">
      <c r="A4663" s="2">
        <v>45852.208333333343</v>
      </c>
      <c r="B4663">
        <f>3904.5400078381*(3/4)</f>
        <v>2928.4050058785779</v>
      </c>
    </row>
    <row r="4664" spans="1:2" x14ac:dyDescent="0.3">
      <c r="A4664" s="2">
        <v>45852.25</v>
      </c>
      <c r="B4664">
        <f>4094.3356924598*(3/4)</f>
        <v>3070.7517693448508</v>
      </c>
    </row>
    <row r="4665" spans="1:2" x14ac:dyDescent="0.3">
      <c r="A4665" s="2">
        <v>45852.291666666657</v>
      </c>
      <c r="B4665">
        <f>4281.49392104096*(3/4)</f>
        <v>3211.1204407807168</v>
      </c>
    </row>
    <row r="4666" spans="1:2" x14ac:dyDescent="0.3">
      <c r="A4666" s="2">
        <v>45852.333333333343</v>
      </c>
      <c r="B4666">
        <f>4131.07461011965*(3/4)</f>
        <v>3098.3059575897378</v>
      </c>
    </row>
    <row r="4667" spans="1:2" x14ac:dyDescent="0.3">
      <c r="A4667" s="2">
        <v>45852.375</v>
      </c>
      <c r="B4667">
        <f>4110.93037938912*(3/4)</f>
        <v>3083.1977845418387</v>
      </c>
    </row>
    <row r="4668" spans="1:2" x14ac:dyDescent="0.3">
      <c r="A4668" s="2">
        <v>45852.416666666657</v>
      </c>
      <c r="B4668">
        <f>4155.34283837719*(3/4)</f>
        <v>3116.5071287828896</v>
      </c>
    </row>
    <row r="4669" spans="1:2" x14ac:dyDescent="0.3">
      <c r="A4669" s="2">
        <v>45852.458333333343</v>
      </c>
      <c r="B4669">
        <f>4096.15763917185*(3/4)</f>
        <v>3072.1182293788875</v>
      </c>
    </row>
    <row r="4670" spans="1:2" x14ac:dyDescent="0.3">
      <c r="A4670" s="2">
        <v>45852.5</v>
      </c>
      <c r="B4670">
        <f>4301.5783387265*(3/4)</f>
        <v>3226.1837540448769</v>
      </c>
    </row>
    <row r="4671" spans="1:2" x14ac:dyDescent="0.3">
      <c r="A4671" s="2">
        <v>45852.541666666657</v>
      </c>
      <c r="B4671">
        <f>4229.34553308147*(3/4)</f>
        <v>3172.0091498111055</v>
      </c>
    </row>
    <row r="4672" spans="1:2" x14ac:dyDescent="0.3">
      <c r="A4672" s="2">
        <v>45852.583333333343</v>
      </c>
      <c r="B4672">
        <f>4155.44906693569*(3/4)</f>
        <v>3116.5868002017687</v>
      </c>
    </row>
    <row r="4673" spans="1:2" x14ac:dyDescent="0.3">
      <c r="A4673" s="2">
        <v>45852.625</v>
      </c>
      <c r="B4673">
        <f>4281.33438520868*(3/4)</f>
        <v>3211.0007889065118</v>
      </c>
    </row>
    <row r="4674" spans="1:2" x14ac:dyDescent="0.3">
      <c r="A4674" s="2">
        <v>45852.666666666657</v>
      </c>
      <c r="B4674">
        <f>4208.52237308338*(3/4)</f>
        <v>3156.3917798125381</v>
      </c>
    </row>
    <row r="4675" spans="1:2" x14ac:dyDescent="0.3">
      <c r="A4675" s="2">
        <v>45852.708333333343</v>
      </c>
      <c r="B4675">
        <f>4229.01304896757*(3/4)</f>
        <v>3171.7597867256754</v>
      </c>
    </row>
    <row r="4676" spans="1:2" x14ac:dyDescent="0.3">
      <c r="A4676" s="2">
        <v>45852.75</v>
      </c>
      <c r="B4676">
        <f>4261.83540382144*(3/4)</f>
        <v>3196.376552866077</v>
      </c>
    </row>
    <row r="4677" spans="1:2" x14ac:dyDescent="0.3">
      <c r="A4677" s="2">
        <v>45852.791666666657</v>
      </c>
      <c r="B4677">
        <f>4149.86763916558*(3/4)</f>
        <v>3112.4007293741879</v>
      </c>
    </row>
    <row r="4678" spans="1:2" x14ac:dyDescent="0.3">
      <c r="A4678" s="2">
        <v>45852.833333333343</v>
      </c>
      <c r="B4678">
        <f>4658.50831664296*(3/4)</f>
        <v>3493.8812374822201</v>
      </c>
    </row>
    <row r="4679" spans="1:2" x14ac:dyDescent="0.3">
      <c r="A4679" s="2">
        <v>45852.875</v>
      </c>
      <c r="B4679">
        <f>4107.48560899825*(3/4)</f>
        <v>3080.6142067486853</v>
      </c>
    </row>
    <row r="4680" spans="1:2" x14ac:dyDescent="0.3">
      <c r="A4680" s="2">
        <v>45852.916666666657</v>
      </c>
      <c r="B4680">
        <f>4035.87231161184*(3/4)</f>
        <v>3026.9042337088831</v>
      </c>
    </row>
    <row r="4681" spans="1:2" x14ac:dyDescent="0.3">
      <c r="A4681" s="2">
        <v>45852.958333333343</v>
      </c>
      <c r="B4681">
        <f>3923.19235861324*(3/4)</f>
        <v>2942.3942689599335</v>
      </c>
    </row>
    <row r="4682" spans="1:2" x14ac:dyDescent="0.3">
      <c r="A4682" s="2">
        <v>45853</v>
      </c>
      <c r="B4682">
        <f>4323.01514832786*(3/4)</f>
        <v>3242.2613612458913</v>
      </c>
    </row>
    <row r="4683" spans="1:2" x14ac:dyDescent="0.3">
      <c r="A4683" s="2">
        <v>45853.041666666657</v>
      </c>
      <c r="B4683">
        <f>4295.87060025553*(3/4)</f>
        <v>3221.9029501916484</v>
      </c>
    </row>
    <row r="4684" spans="1:2" x14ac:dyDescent="0.3">
      <c r="A4684" s="2">
        <v>45853.083333333343</v>
      </c>
      <c r="B4684">
        <f>3873.06551417916*(3/4)</f>
        <v>2904.7991356343691</v>
      </c>
    </row>
    <row r="4685" spans="1:2" x14ac:dyDescent="0.3">
      <c r="A4685" s="2">
        <v>45853.125</v>
      </c>
      <c r="B4685">
        <f>3882.31686242482*(3/4)</f>
        <v>2911.7376468186144</v>
      </c>
    </row>
    <row r="4686" spans="1:2" x14ac:dyDescent="0.3">
      <c r="A4686" s="2">
        <v>45853.166666666657</v>
      </c>
      <c r="B4686">
        <f>4020.51228896197*(3/4)</f>
        <v>3015.3842167214752</v>
      </c>
    </row>
    <row r="4687" spans="1:2" x14ac:dyDescent="0.3">
      <c r="A4687" s="2">
        <v>45853.208333333343</v>
      </c>
      <c r="B4687">
        <f>4243.92733110689*(3/4)</f>
        <v>3182.9454983301703</v>
      </c>
    </row>
    <row r="4688" spans="1:2" x14ac:dyDescent="0.3">
      <c r="A4688" s="2">
        <v>45853.25</v>
      </c>
      <c r="B4688">
        <f>3784.63395505483*(3/4)</f>
        <v>2838.4754662911196</v>
      </c>
    </row>
    <row r="4689" spans="1:2" x14ac:dyDescent="0.3">
      <c r="A4689" s="2">
        <v>45853.291666666657</v>
      </c>
      <c r="B4689">
        <f>4065.79120529092*(3/4)</f>
        <v>3049.3434039681906</v>
      </c>
    </row>
    <row r="4690" spans="1:2" x14ac:dyDescent="0.3">
      <c r="A4690" s="2">
        <v>45853.333333333343</v>
      </c>
      <c r="B4690">
        <f>4227.70416768325*(3/4)</f>
        <v>3170.7781257624401</v>
      </c>
    </row>
    <row r="4691" spans="1:2" x14ac:dyDescent="0.3">
      <c r="A4691" s="2">
        <v>45853.375</v>
      </c>
      <c r="B4691">
        <f>4190.10222918545*(3/4)</f>
        <v>3142.5766718890864</v>
      </c>
    </row>
    <row r="4692" spans="1:2" x14ac:dyDescent="0.3">
      <c r="A4692" s="2">
        <v>45853.416666666657</v>
      </c>
      <c r="B4692">
        <f>4122.61819516753*(3/4)</f>
        <v>3091.9636463756488</v>
      </c>
    </row>
    <row r="4693" spans="1:2" x14ac:dyDescent="0.3">
      <c r="A4693" s="2">
        <v>45853.458333333343</v>
      </c>
      <c r="B4693">
        <f>4404.40348111632*(3/4)</f>
        <v>3303.3026108372396</v>
      </c>
    </row>
    <row r="4694" spans="1:2" x14ac:dyDescent="0.3">
      <c r="A4694" s="2">
        <v>45853.5</v>
      </c>
      <c r="B4694">
        <f>4346.65019114901*(3/4)</f>
        <v>3259.9876433617583</v>
      </c>
    </row>
    <row r="4695" spans="1:2" x14ac:dyDescent="0.3">
      <c r="A4695" s="2">
        <v>45853.541666666657</v>
      </c>
      <c r="B4695">
        <f>4465.557218776*(3/4)</f>
        <v>3349.1679140820015</v>
      </c>
    </row>
    <row r="4696" spans="1:2" x14ac:dyDescent="0.3">
      <c r="A4696" s="2">
        <v>45853.583333333343</v>
      </c>
      <c r="B4696">
        <f>3827.65822776014*(3/4)</f>
        <v>2870.743670820108</v>
      </c>
    </row>
    <row r="4697" spans="1:2" x14ac:dyDescent="0.3">
      <c r="A4697" s="2">
        <v>45853.625</v>
      </c>
      <c r="B4697">
        <f>4255.16853425436*(3/4)</f>
        <v>3191.3764006907677</v>
      </c>
    </row>
    <row r="4698" spans="1:2" x14ac:dyDescent="0.3">
      <c r="A4698" s="2">
        <v>45853.666666666657</v>
      </c>
      <c r="B4698">
        <f>4617.70378092688*(3/4)</f>
        <v>3463.2778356951576</v>
      </c>
    </row>
    <row r="4699" spans="1:2" x14ac:dyDescent="0.3">
      <c r="A4699" s="2">
        <v>45853.708333333343</v>
      </c>
      <c r="B4699">
        <f>4462.58189076937*(3/4)</f>
        <v>3346.936418077029</v>
      </c>
    </row>
    <row r="4700" spans="1:2" x14ac:dyDescent="0.3">
      <c r="A4700" s="2">
        <v>45853.75</v>
      </c>
      <c r="B4700">
        <f>4227.60218373694*(3/4)</f>
        <v>3170.7016378027047</v>
      </c>
    </row>
    <row r="4701" spans="1:2" x14ac:dyDescent="0.3">
      <c r="A4701" s="2">
        <v>45853.791666666657</v>
      </c>
      <c r="B4701">
        <f>4096.14139448708*(3/4)</f>
        <v>3072.1060458653114</v>
      </c>
    </row>
    <row r="4702" spans="1:2" x14ac:dyDescent="0.3">
      <c r="A4702" s="2">
        <v>45853.833333333343</v>
      </c>
      <c r="B4702">
        <f>3835.55317060607*(3/4)</f>
        <v>2876.6648779545549</v>
      </c>
    </row>
    <row r="4703" spans="1:2" x14ac:dyDescent="0.3">
      <c r="A4703" s="2">
        <v>45853.875</v>
      </c>
      <c r="B4703">
        <f>4465.46416232145*(3/4)</f>
        <v>3349.0981217410845</v>
      </c>
    </row>
    <row r="4704" spans="1:2" x14ac:dyDescent="0.3">
      <c r="A4704" s="2">
        <v>45853.916666666657</v>
      </c>
      <c r="B4704">
        <f>3926.47904115579*(3/4)</f>
        <v>2944.8592808668445</v>
      </c>
    </row>
    <row r="4705" spans="1:2" x14ac:dyDescent="0.3">
      <c r="A4705" s="2">
        <v>45853.958333333343</v>
      </c>
      <c r="B4705">
        <f>3975.81332951805*(3/4)</f>
        <v>2981.8599971385388</v>
      </c>
    </row>
    <row r="4706" spans="1:2" x14ac:dyDescent="0.3">
      <c r="A4706" s="2">
        <v>45854</v>
      </c>
      <c r="B4706">
        <f>4432.17413944901*(3/4)</f>
        <v>3324.1306045867609</v>
      </c>
    </row>
    <row r="4707" spans="1:2" x14ac:dyDescent="0.3">
      <c r="A4707" s="2">
        <v>45854.041666666657</v>
      </c>
      <c r="B4707">
        <f>4097.0972110158*(3/4)</f>
        <v>3072.82290826185</v>
      </c>
    </row>
    <row r="4708" spans="1:2" x14ac:dyDescent="0.3">
      <c r="A4708" s="2">
        <v>45854.083333333343</v>
      </c>
      <c r="B4708">
        <f>4108.84193751534*(3/4)</f>
        <v>3081.6314531365051</v>
      </c>
    </row>
    <row r="4709" spans="1:2" x14ac:dyDescent="0.3">
      <c r="A4709" s="2">
        <v>45854.125</v>
      </c>
      <c r="B4709">
        <f>4367.93512840583*(3/4)</f>
        <v>3275.9513463043713</v>
      </c>
    </row>
    <row r="4710" spans="1:2" x14ac:dyDescent="0.3">
      <c r="A4710" s="2">
        <v>45854.166666666657</v>
      </c>
      <c r="B4710">
        <f>4091.28753041409*(3/4)</f>
        <v>3068.4656478105703</v>
      </c>
    </row>
    <row r="4711" spans="1:2" x14ac:dyDescent="0.3">
      <c r="A4711" s="2">
        <v>45854.208333333343</v>
      </c>
      <c r="B4711">
        <f>4413.40554830934*(3/4)</f>
        <v>3310.0541612320048</v>
      </c>
    </row>
    <row r="4712" spans="1:2" x14ac:dyDescent="0.3">
      <c r="A4712" s="2">
        <v>45854.25</v>
      </c>
      <c r="B4712">
        <f>4021.15166660702*(3/4)</f>
        <v>3015.8637499552665</v>
      </c>
    </row>
    <row r="4713" spans="1:2" x14ac:dyDescent="0.3">
      <c r="A4713" s="2">
        <v>45854.291666666657</v>
      </c>
      <c r="B4713">
        <f>4482.544659159*(3/4)</f>
        <v>3361.9084943692533</v>
      </c>
    </row>
    <row r="4714" spans="1:2" x14ac:dyDescent="0.3">
      <c r="A4714" s="2">
        <v>45854.333333333343</v>
      </c>
      <c r="B4714">
        <f>4264.20792526645*(3/4)</f>
        <v>3198.1559439498346</v>
      </c>
    </row>
    <row r="4715" spans="1:2" x14ac:dyDescent="0.3">
      <c r="A4715" s="2">
        <v>45854.375</v>
      </c>
      <c r="B4715">
        <f>4067.03085971075*(3/4)</f>
        <v>3050.2731447830602</v>
      </c>
    </row>
    <row r="4716" spans="1:2" x14ac:dyDescent="0.3">
      <c r="A4716" s="2">
        <v>45854.416666666657</v>
      </c>
      <c r="B4716">
        <f>4119.65355559009*(3/4)</f>
        <v>3089.7401666925648</v>
      </c>
    </row>
    <row r="4717" spans="1:2" x14ac:dyDescent="0.3">
      <c r="A4717" s="2">
        <v>45854.458333333343</v>
      </c>
      <c r="B4717">
        <f>4073.67552935669*(3/4)</f>
        <v>3055.2566470175148</v>
      </c>
    </row>
    <row r="4718" spans="1:2" x14ac:dyDescent="0.3">
      <c r="A4718" s="2">
        <v>45854.5</v>
      </c>
      <c r="B4718">
        <f>3883.61781904123*(3/4)</f>
        <v>2912.7133642809226</v>
      </c>
    </row>
    <row r="4719" spans="1:2" x14ac:dyDescent="0.3">
      <c r="A4719" s="2">
        <v>45854.541666666657</v>
      </c>
      <c r="B4719">
        <f>4479.28958052257*(3/4)</f>
        <v>3359.4671853919263</v>
      </c>
    </row>
    <row r="4720" spans="1:2" x14ac:dyDescent="0.3">
      <c r="A4720" s="2">
        <v>45854.583333333343</v>
      </c>
      <c r="B4720">
        <f>4027.28904554461*(3/4)</f>
        <v>3020.4667841584551</v>
      </c>
    </row>
    <row r="4721" spans="1:2" x14ac:dyDescent="0.3">
      <c r="A4721" s="2">
        <v>45854.625</v>
      </c>
      <c r="B4721">
        <f>4140.11231100788*(3/4)</f>
        <v>3105.0842332559068</v>
      </c>
    </row>
    <row r="4722" spans="1:2" x14ac:dyDescent="0.3">
      <c r="A4722" s="2">
        <v>45854.666666666657</v>
      </c>
      <c r="B4722">
        <f>3949.22991991522*(3/4)</f>
        <v>2961.9224399364166</v>
      </c>
    </row>
    <row r="4723" spans="1:2" x14ac:dyDescent="0.3">
      <c r="A4723" s="2">
        <v>45854.708333333343</v>
      </c>
      <c r="B4723">
        <f>4204.03859678653*(3/4)</f>
        <v>3153.0289475898999</v>
      </c>
    </row>
    <row r="4724" spans="1:2" x14ac:dyDescent="0.3">
      <c r="A4724" s="2">
        <v>45854.75</v>
      </c>
      <c r="B4724">
        <f>4323.24247146377*(3/4)</f>
        <v>3242.4318535978296</v>
      </c>
    </row>
    <row r="4725" spans="1:2" x14ac:dyDescent="0.3">
      <c r="A4725" s="2">
        <v>45854.791666666657</v>
      </c>
      <c r="B4725">
        <f>4284.23709532513*(3/4)</f>
        <v>3213.1778214938477</v>
      </c>
    </row>
    <row r="4726" spans="1:2" x14ac:dyDescent="0.3">
      <c r="A4726" s="2">
        <v>45854.833333333343</v>
      </c>
      <c r="B4726">
        <f>4003.90394760235*(3/4)</f>
        <v>3002.9279607017656</v>
      </c>
    </row>
    <row r="4727" spans="1:2" x14ac:dyDescent="0.3">
      <c r="A4727" s="2">
        <v>45854.875</v>
      </c>
      <c r="B4727">
        <f>4341.50291904242*(3/4)</f>
        <v>3256.1271892818168</v>
      </c>
    </row>
    <row r="4728" spans="1:2" x14ac:dyDescent="0.3">
      <c r="A4728" s="2">
        <v>45854.916666666657</v>
      </c>
      <c r="B4728">
        <f>3973.68400407828*(3/4)</f>
        <v>2980.2630030587129</v>
      </c>
    </row>
    <row r="4729" spans="1:2" x14ac:dyDescent="0.3">
      <c r="A4729" s="2">
        <v>45854.958333333343</v>
      </c>
      <c r="B4729">
        <f>4192.9650562095*(3/4)</f>
        <v>3144.7237921571218</v>
      </c>
    </row>
    <row r="4730" spans="1:2" x14ac:dyDescent="0.3">
      <c r="A4730" s="2">
        <v>45855</v>
      </c>
      <c r="B4730">
        <f>3785.80452432418*(3/4)</f>
        <v>2839.3533932431374</v>
      </c>
    </row>
    <row r="4731" spans="1:2" x14ac:dyDescent="0.3">
      <c r="A4731" s="2">
        <v>45855.041666666657</v>
      </c>
      <c r="B4731">
        <f>4207.02053479018*(3/4)</f>
        <v>3155.2654010926381</v>
      </c>
    </row>
    <row r="4732" spans="1:2" x14ac:dyDescent="0.3">
      <c r="A4732" s="2">
        <v>45855.083333333343</v>
      </c>
      <c r="B4732">
        <f>4166.85566318446*(3/4)</f>
        <v>3125.1417473883475</v>
      </c>
    </row>
    <row r="4733" spans="1:2" x14ac:dyDescent="0.3">
      <c r="A4733" s="2">
        <v>45855.125</v>
      </c>
      <c r="B4733">
        <f>4111.56183859385*(3/4)</f>
        <v>3083.6713789453897</v>
      </c>
    </row>
    <row r="4734" spans="1:2" x14ac:dyDescent="0.3">
      <c r="A4734" s="2">
        <v>45855.166666666657</v>
      </c>
      <c r="B4734">
        <f>4320.87668412195*(3/4)</f>
        <v>3240.6575130914594</v>
      </c>
    </row>
    <row r="4735" spans="1:2" x14ac:dyDescent="0.3">
      <c r="A4735" s="2">
        <v>45855.208333333343</v>
      </c>
      <c r="B4735">
        <f>4163.00356914616*(3/4)</f>
        <v>3122.2526768596199</v>
      </c>
    </row>
    <row r="4736" spans="1:2" x14ac:dyDescent="0.3">
      <c r="A4736" s="2">
        <v>45855.25</v>
      </c>
      <c r="B4736">
        <f>3848.84358920031*(3/4)</f>
        <v>2886.6326919002349</v>
      </c>
    </row>
    <row r="4737" spans="1:2" x14ac:dyDescent="0.3">
      <c r="A4737" s="2">
        <v>45855.291666666657</v>
      </c>
      <c r="B4737">
        <f>4084.96852695154*(3/4)</f>
        <v>3063.7263952136536</v>
      </c>
    </row>
    <row r="4738" spans="1:2" x14ac:dyDescent="0.3">
      <c r="A4738" s="2">
        <v>45855.333333333343</v>
      </c>
      <c r="B4738">
        <f>4383.44166660244*(3/4)</f>
        <v>3287.581249951832</v>
      </c>
    </row>
    <row r="4739" spans="1:2" x14ac:dyDescent="0.3">
      <c r="A4739" s="2">
        <v>45855.375</v>
      </c>
      <c r="B4739">
        <f>4270.54452890432*(3/4)</f>
        <v>3202.9083966782437</v>
      </c>
    </row>
    <row r="4740" spans="1:2" x14ac:dyDescent="0.3">
      <c r="A4740" s="2">
        <v>45855.416666666657</v>
      </c>
      <c r="B4740">
        <f>4050.90600279105*(3/4)</f>
        <v>3038.1795020932859</v>
      </c>
    </row>
    <row r="4741" spans="1:2" x14ac:dyDescent="0.3">
      <c r="A4741" s="2">
        <v>45855.458333333343</v>
      </c>
      <c r="B4741">
        <f>4208.30206521069*(3/4)</f>
        <v>3156.2265489080164</v>
      </c>
    </row>
    <row r="4742" spans="1:2" x14ac:dyDescent="0.3">
      <c r="A4742" s="2">
        <v>45855.5</v>
      </c>
      <c r="B4742">
        <f>4130.76325784773*(3/4)</f>
        <v>3098.0724433857945</v>
      </c>
    </row>
    <row r="4743" spans="1:2" x14ac:dyDescent="0.3">
      <c r="A4743" s="2">
        <v>45855.541666666657</v>
      </c>
      <c r="B4743">
        <f>4086.81012540531*(3/4)</f>
        <v>3065.1075940539822</v>
      </c>
    </row>
    <row r="4744" spans="1:2" x14ac:dyDescent="0.3">
      <c r="A4744" s="2">
        <v>45855.583333333343</v>
      </c>
      <c r="B4744">
        <f>4101.80087877205*(3/4)</f>
        <v>3076.3506590790389</v>
      </c>
    </row>
    <row r="4745" spans="1:2" x14ac:dyDescent="0.3">
      <c r="A4745" s="2">
        <v>45855.625</v>
      </c>
      <c r="B4745">
        <f>3941.84137719797*(3/4)</f>
        <v>2956.3810328984769</v>
      </c>
    </row>
    <row r="4746" spans="1:2" x14ac:dyDescent="0.3">
      <c r="A4746" s="2">
        <v>45855.666666666657</v>
      </c>
      <c r="B4746">
        <f>4151.20360446159*(3/4)</f>
        <v>3113.402703346193</v>
      </c>
    </row>
    <row r="4747" spans="1:2" x14ac:dyDescent="0.3">
      <c r="A4747" s="2">
        <v>45855.708333333343</v>
      </c>
      <c r="B4747">
        <f>3996.84811347967*(3/4)</f>
        <v>2997.6360851097515</v>
      </c>
    </row>
    <row r="4748" spans="1:2" x14ac:dyDescent="0.3">
      <c r="A4748" s="2">
        <v>45855.75</v>
      </c>
      <c r="B4748">
        <f>4036.6106261883*(3/4)</f>
        <v>3027.457969641222</v>
      </c>
    </row>
    <row r="4749" spans="1:2" x14ac:dyDescent="0.3">
      <c r="A4749" s="2">
        <v>45855.791666666657</v>
      </c>
      <c r="B4749">
        <f>3965.84371132621*(3/4)</f>
        <v>2974.3827834946592</v>
      </c>
    </row>
    <row r="4750" spans="1:2" x14ac:dyDescent="0.3">
      <c r="A4750" s="2">
        <v>45855.833333333343</v>
      </c>
      <c r="B4750">
        <f>4344.92030942414*(3/4)</f>
        <v>3258.6902320681074</v>
      </c>
    </row>
    <row r="4751" spans="1:2" x14ac:dyDescent="0.3">
      <c r="A4751" s="2">
        <v>45855.875</v>
      </c>
      <c r="B4751">
        <f>4481.817713146*(3/4)</f>
        <v>3361.3632848595012</v>
      </c>
    </row>
    <row r="4752" spans="1:2" x14ac:dyDescent="0.3">
      <c r="A4752" s="2">
        <v>45855.916666666657</v>
      </c>
      <c r="B4752">
        <f>3858.83019521077*(3/4)</f>
        <v>2894.1226464080783</v>
      </c>
    </row>
    <row r="4753" spans="1:2" x14ac:dyDescent="0.3">
      <c r="A4753" s="2">
        <v>45855.958333333343</v>
      </c>
      <c r="B4753">
        <f>3798.16978116709*(3/4)</f>
        <v>2848.6273358753137</v>
      </c>
    </row>
    <row r="4754" spans="1:2" x14ac:dyDescent="0.3">
      <c r="A4754" s="2">
        <v>45856</v>
      </c>
      <c r="B4754">
        <f>4491.68470658076*(3/4)</f>
        <v>3368.7635299355716</v>
      </c>
    </row>
    <row r="4755" spans="1:2" x14ac:dyDescent="0.3">
      <c r="A4755" s="2">
        <v>45856.041666666657</v>
      </c>
      <c r="B4755">
        <f>4145.45003428911*(3/4)</f>
        <v>3109.0875257168309</v>
      </c>
    </row>
    <row r="4756" spans="1:2" x14ac:dyDescent="0.3">
      <c r="A4756" s="2">
        <v>45856.083333333343</v>
      </c>
      <c r="B4756">
        <f>4178.50785556946*(3/4)</f>
        <v>3133.880891677095</v>
      </c>
    </row>
    <row r="4757" spans="1:2" x14ac:dyDescent="0.3">
      <c r="A4757" s="2">
        <v>45856.125</v>
      </c>
      <c r="B4757">
        <f>3900.40344510024*(3/4)</f>
        <v>2925.3025838251806</v>
      </c>
    </row>
    <row r="4758" spans="1:2" x14ac:dyDescent="0.3">
      <c r="A4758" s="2">
        <v>45856.166666666657</v>
      </c>
      <c r="B4758">
        <f>4299.8484030407*(3/4)</f>
        <v>3224.8863022805217</v>
      </c>
    </row>
    <row r="4759" spans="1:2" x14ac:dyDescent="0.3">
      <c r="A4759" s="2">
        <v>45856.208333333343</v>
      </c>
      <c r="B4759">
        <f>3937.49367605777*(3/4)</f>
        <v>2953.1202570433306</v>
      </c>
    </row>
    <row r="4760" spans="1:2" x14ac:dyDescent="0.3">
      <c r="A4760" s="2">
        <v>45856.25</v>
      </c>
      <c r="B4760">
        <f>3940.54496719001*(3/4)</f>
        <v>2955.4087253925054</v>
      </c>
    </row>
    <row r="4761" spans="1:2" x14ac:dyDescent="0.3">
      <c r="A4761" s="2">
        <v>45856.291666666657</v>
      </c>
      <c r="B4761">
        <f>4137.35283268753*(3/4)</f>
        <v>3103.0146245156448</v>
      </c>
    </row>
    <row r="4762" spans="1:2" x14ac:dyDescent="0.3">
      <c r="A4762" s="2">
        <v>45856.333333333343</v>
      </c>
      <c r="B4762">
        <f>4489.26108793606*(3/4)</f>
        <v>3366.9458159520455</v>
      </c>
    </row>
    <row r="4763" spans="1:2" x14ac:dyDescent="0.3">
      <c r="A4763" s="2">
        <v>45856.375</v>
      </c>
      <c r="B4763">
        <f>4080.40252989736*(3/4)</f>
        <v>3060.3018974230185</v>
      </c>
    </row>
    <row r="4764" spans="1:2" x14ac:dyDescent="0.3">
      <c r="A4764" s="2">
        <v>45856.416666666657</v>
      </c>
      <c r="B4764">
        <f>4507.29408408905*(3/4)</f>
        <v>3380.4705630667841</v>
      </c>
    </row>
    <row r="4765" spans="1:2" x14ac:dyDescent="0.3">
      <c r="A4765" s="2">
        <v>45856.458333333343</v>
      </c>
      <c r="B4765">
        <f>4183.86737465626*(3/4)</f>
        <v>3137.9005309921931</v>
      </c>
    </row>
    <row r="4766" spans="1:2" x14ac:dyDescent="0.3">
      <c r="A4766" s="2">
        <v>45856.5</v>
      </c>
      <c r="B4766">
        <f>4401.42183719492*(3/4)</f>
        <v>3301.0663778961894</v>
      </c>
    </row>
    <row r="4767" spans="1:2" x14ac:dyDescent="0.3">
      <c r="A4767" s="2">
        <v>45856.541666666657</v>
      </c>
      <c r="B4767">
        <f>4521.17089008122*(3/4)</f>
        <v>3390.8781675609134</v>
      </c>
    </row>
    <row r="4768" spans="1:2" x14ac:dyDescent="0.3">
      <c r="A4768" s="2">
        <v>45856.583333333343</v>
      </c>
      <c r="B4768">
        <f>3927.85368881639*(3/4)</f>
        <v>2945.8902666122895</v>
      </c>
    </row>
    <row r="4769" spans="1:2" x14ac:dyDescent="0.3">
      <c r="A4769" s="2">
        <v>45856.625</v>
      </c>
      <c r="B4769">
        <f>3962.09494322566*(3/4)</f>
        <v>2971.5712074192429</v>
      </c>
    </row>
    <row r="4770" spans="1:2" x14ac:dyDescent="0.3">
      <c r="A4770" s="2">
        <v>45856.666666666657</v>
      </c>
      <c r="B4770">
        <f>4016.61063774575*(3/4)</f>
        <v>3012.4579783093122</v>
      </c>
    </row>
    <row r="4771" spans="1:2" x14ac:dyDescent="0.3">
      <c r="A4771" s="2">
        <v>45856.708333333343</v>
      </c>
      <c r="B4771">
        <f>4363.3550828513*(3/4)</f>
        <v>3272.5163121384735</v>
      </c>
    </row>
    <row r="4772" spans="1:2" x14ac:dyDescent="0.3">
      <c r="A4772" s="2">
        <v>45856.75</v>
      </c>
      <c r="B4772">
        <f>4509.0796797366*(3/4)</f>
        <v>3381.8097598024497</v>
      </c>
    </row>
    <row r="4773" spans="1:2" x14ac:dyDescent="0.3">
      <c r="A4773" s="2">
        <v>45856.791666666657</v>
      </c>
      <c r="B4773">
        <f>4075.10486647871*(3/4)</f>
        <v>3056.3286498590305</v>
      </c>
    </row>
    <row r="4774" spans="1:2" x14ac:dyDescent="0.3">
      <c r="A4774" s="2">
        <v>45856.833333333343</v>
      </c>
      <c r="B4774">
        <f>3997.52360658551*(3/4)</f>
        <v>2998.1427049391327</v>
      </c>
    </row>
    <row r="4775" spans="1:2" x14ac:dyDescent="0.3">
      <c r="A4775" s="2">
        <v>45856.875</v>
      </c>
      <c r="B4775">
        <f>4031.78627274347*(3/4)</f>
        <v>3023.8397045576003</v>
      </c>
    </row>
    <row r="4776" spans="1:2" x14ac:dyDescent="0.3">
      <c r="A4776" s="2">
        <v>45856.916666666657</v>
      </c>
      <c r="B4776">
        <f>3862.52238876947*(3/4)</f>
        <v>2896.8917915771003</v>
      </c>
    </row>
    <row r="4777" spans="1:2" x14ac:dyDescent="0.3">
      <c r="A4777" s="2">
        <v>45856.958333333343</v>
      </c>
      <c r="B4777">
        <f>4006.58903761518*(3/4)</f>
        <v>3004.9417782113842</v>
      </c>
    </row>
    <row r="4778" spans="1:2" x14ac:dyDescent="0.3">
      <c r="A4778" s="2">
        <v>45857</v>
      </c>
      <c r="B4778">
        <f>4024.28398910179*(3/4)</f>
        <v>3018.2129918263404</v>
      </c>
    </row>
    <row r="4779" spans="1:2" x14ac:dyDescent="0.3">
      <c r="A4779" s="2">
        <v>45857.041666666657</v>
      </c>
      <c r="B4779">
        <f>3987.66728944195*(3/4)</f>
        <v>2990.7504670814646</v>
      </c>
    </row>
    <row r="4780" spans="1:2" x14ac:dyDescent="0.3">
      <c r="A4780" s="2">
        <v>45857.083333333343</v>
      </c>
      <c r="B4780">
        <f>3954.3843216186*(3/4)</f>
        <v>2965.7882412139484</v>
      </c>
    </row>
    <row r="4781" spans="1:2" x14ac:dyDescent="0.3">
      <c r="A4781" s="2">
        <v>45857.125</v>
      </c>
      <c r="B4781">
        <f>4301.55535455685*(3/4)</f>
        <v>3226.1665159176396</v>
      </c>
    </row>
    <row r="4782" spans="1:2" x14ac:dyDescent="0.3">
      <c r="A4782" s="2">
        <v>45857.166666666657</v>
      </c>
      <c r="B4782">
        <f>4199.12434301647*(3/4)</f>
        <v>3149.3432572623497</v>
      </c>
    </row>
    <row r="4783" spans="1:2" x14ac:dyDescent="0.3">
      <c r="A4783" s="2">
        <v>45857.208333333343</v>
      </c>
      <c r="B4783">
        <f>4067.92710841946*(3/4)</f>
        <v>3050.9453313145978</v>
      </c>
    </row>
    <row r="4784" spans="1:2" x14ac:dyDescent="0.3">
      <c r="A4784" s="2">
        <v>45857.25</v>
      </c>
      <c r="B4784">
        <f>3972.38459516855*(3/4)</f>
        <v>2979.2884463764135</v>
      </c>
    </row>
    <row r="4785" spans="1:2" x14ac:dyDescent="0.3">
      <c r="A4785" s="2">
        <v>45857.291666666657</v>
      </c>
      <c r="B4785">
        <f>4014.06046294438*(3/4)</f>
        <v>3010.545347208285</v>
      </c>
    </row>
    <row r="4786" spans="1:2" x14ac:dyDescent="0.3">
      <c r="A4786" s="2">
        <v>45857.333333333343</v>
      </c>
      <c r="B4786">
        <f>4057.71191586128*(3/4)</f>
        <v>3043.2839368959585</v>
      </c>
    </row>
    <row r="4787" spans="1:2" x14ac:dyDescent="0.3">
      <c r="A4787" s="2">
        <v>45857.375</v>
      </c>
      <c r="B4787">
        <f>4022.25967501347*(3/4)</f>
        <v>3016.6947562601049</v>
      </c>
    </row>
    <row r="4788" spans="1:2" x14ac:dyDescent="0.3">
      <c r="A4788" s="2">
        <v>45857.416666666657</v>
      </c>
      <c r="B4788">
        <f>4294.73503153062*(3/4)</f>
        <v>3221.0512736479668</v>
      </c>
    </row>
    <row r="4789" spans="1:2" x14ac:dyDescent="0.3">
      <c r="A4789" s="2">
        <v>45857.458333333343</v>
      </c>
      <c r="B4789">
        <f>4295.10604002566*(3/4)</f>
        <v>3221.3295300192472</v>
      </c>
    </row>
    <row r="4790" spans="1:2" x14ac:dyDescent="0.3">
      <c r="A4790" s="2">
        <v>45857.5</v>
      </c>
      <c r="B4790">
        <f>4571.42237979107*(3/4)</f>
        <v>3428.5667848433018</v>
      </c>
    </row>
    <row r="4791" spans="1:2" x14ac:dyDescent="0.3">
      <c r="A4791" s="2">
        <v>45857.541666666657</v>
      </c>
      <c r="B4791">
        <f>4592.49329717728*(3/4)</f>
        <v>3444.3699728829561</v>
      </c>
    </row>
    <row r="4792" spans="1:2" x14ac:dyDescent="0.3">
      <c r="A4792" s="2">
        <v>45857.583333333343</v>
      </c>
      <c r="B4792">
        <f>3966.69581081669*(3/4)</f>
        <v>2975.0218581125146</v>
      </c>
    </row>
    <row r="4793" spans="1:2" x14ac:dyDescent="0.3">
      <c r="A4793" s="2">
        <v>45857.625</v>
      </c>
      <c r="B4793">
        <f>4368.61724698665*(3/4)</f>
        <v>3276.4629352399843</v>
      </c>
    </row>
    <row r="4794" spans="1:2" x14ac:dyDescent="0.3">
      <c r="A4794" s="2">
        <v>45857.666666666657</v>
      </c>
      <c r="B4794">
        <f>4294.37942221124*(3/4)</f>
        <v>3220.7845666584321</v>
      </c>
    </row>
    <row r="4795" spans="1:2" x14ac:dyDescent="0.3">
      <c r="A4795" s="2">
        <v>45857.708333333343</v>
      </c>
      <c r="B4795">
        <f>4002.43306302919*(3/4)</f>
        <v>3001.8247972718941</v>
      </c>
    </row>
    <row r="4796" spans="1:2" x14ac:dyDescent="0.3">
      <c r="A4796" s="2">
        <v>45857.75</v>
      </c>
      <c r="B4796">
        <f>4424.66383585245*(3/4)</f>
        <v>3318.4978768893352</v>
      </c>
    </row>
    <row r="4797" spans="1:2" x14ac:dyDescent="0.3">
      <c r="A4797" s="2">
        <v>45857.791666666657</v>
      </c>
      <c r="B4797">
        <f>4430.9115328081*(3/4)</f>
        <v>3323.1836496060778</v>
      </c>
    </row>
    <row r="4798" spans="1:2" x14ac:dyDescent="0.3">
      <c r="A4798" s="2">
        <v>45857.833333333343</v>
      </c>
      <c r="B4798">
        <f>4329.84251296575*(3/4)</f>
        <v>3247.3818847243147</v>
      </c>
    </row>
    <row r="4799" spans="1:2" x14ac:dyDescent="0.3">
      <c r="A4799" s="2">
        <v>45857.875</v>
      </c>
      <c r="B4799">
        <f>4355.01903433654*(3/4)</f>
        <v>3266.2642757524018</v>
      </c>
    </row>
    <row r="4800" spans="1:2" x14ac:dyDescent="0.3">
      <c r="A4800" s="2">
        <v>45857.916666666657</v>
      </c>
      <c r="B4800">
        <f>3814.26650308679*(3/4)</f>
        <v>2860.6998773150908</v>
      </c>
    </row>
    <row r="4801" spans="1:2" x14ac:dyDescent="0.3">
      <c r="A4801" s="2">
        <v>45857.958333333343</v>
      </c>
      <c r="B4801">
        <f>4067.87250128052*(3/4)</f>
        <v>3050.9043759603937</v>
      </c>
    </row>
    <row r="4802" spans="1:2" x14ac:dyDescent="0.3">
      <c r="A4802" s="2">
        <v>45858</v>
      </c>
      <c r="B4802">
        <f>4529.62134355865*(3/4)</f>
        <v>3397.2160076689852</v>
      </c>
    </row>
    <row r="4803" spans="1:2" x14ac:dyDescent="0.3">
      <c r="A4803" s="2">
        <v>45858.041666666657</v>
      </c>
      <c r="B4803">
        <f>3983.73416309052*(3/4)</f>
        <v>2987.8006223178877</v>
      </c>
    </row>
    <row r="4804" spans="1:2" x14ac:dyDescent="0.3">
      <c r="A4804" s="2">
        <v>45858.083333333343</v>
      </c>
      <c r="B4804">
        <f>4378.23792336234*(3/4)</f>
        <v>3283.6784425217566</v>
      </c>
    </row>
    <row r="4805" spans="1:2" x14ac:dyDescent="0.3">
      <c r="A4805" s="2">
        <v>45858.125</v>
      </c>
      <c r="B4805">
        <f>4219.89374025752*(3/4)</f>
        <v>3164.920305193139</v>
      </c>
    </row>
    <row r="4806" spans="1:2" x14ac:dyDescent="0.3">
      <c r="A4806" s="2">
        <v>45858.166666666657</v>
      </c>
      <c r="B4806">
        <f>4494.31986027624*(3/4)</f>
        <v>3370.7398952071771</v>
      </c>
    </row>
    <row r="4807" spans="1:2" x14ac:dyDescent="0.3">
      <c r="A4807" s="2">
        <v>45858.208333333343</v>
      </c>
      <c r="B4807">
        <f>3973.66415858654*(3/4)</f>
        <v>2980.2481189399082</v>
      </c>
    </row>
    <row r="4808" spans="1:2" x14ac:dyDescent="0.3">
      <c r="A4808" s="2">
        <v>45858.25</v>
      </c>
      <c r="B4808">
        <f>4091.73211615335*(3/4)</f>
        <v>3068.7990871150132</v>
      </c>
    </row>
    <row r="4809" spans="1:2" x14ac:dyDescent="0.3">
      <c r="A4809" s="2">
        <v>45858.291666666657</v>
      </c>
      <c r="B4809">
        <f>4105.61273514975*(3/4)</f>
        <v>3079.2095513623099</v>
      </c>
    </row>
    <row r="4810" spans="1:2" x14ac:dyDescent="0.3">
      <c r="A4810" s="2">
        <v>45858.333333333343</v>
      </c>
      <c r="B4810">
        <f>3339.42597214135*(3/4)</f>
        <v>2504.5694791060096</v>
      </c>
    </row>
    <row r="4811" spans="1:2" x14ac:dyDescent="0.3">
      <c r="A4811" s="2">
        <v>45858.375</v>
      </c>
      <c r="B4811">
        <f>3110.62404509451*(3/4)</f>
        <v>2332.9680338208841</v>
      </c>
    </row>
    <row r="4812" spans="1:2" x14ac:dyDescent="0.3">
      <c r="A4812" s="2">
        <v>45858.416666666657</v>
      </c>
      <c r="B4812">
        <f>3501.84711509285*(3/4)</f>
        <v>2626.3853363196381</v>
      </c>
    </row>
    <row r="4813" spans="1:2" x14ac:dyDescent="0.3">
      <c r="A4813" s="2">
        <v>45858.458333333343</v>
      </c>
      <c r="B4813">
        <f>3234.43213885978*(3/4)</f>
        <v>2425.824104144835</v>
      </c>
    </row>
    <row r="4814" spans="1:2" x14ac:dyDescent="0.3">
      <c r="A4814" s="2">
        <v>45858.5</v>
      </c>
      <c r="B4814">
        <f>3612.4948910319*(3/4)</f>
        <v>2709.3711682739258</v>
      </c>
    </row>
    <row r="4815" spans="1:2" x14ac:dyDescent="0.3">
      <c r="A4815" s="2">
        <v>45858.541666666657</v>
      </c>
      <c r="B4815">
        <f>3311.77134565291*(3/4)</f>
        <v>2483.8285092396864</v>
      </c>
    </row>
    <row r="4816" spans="1:2" x14ac:dyDescent="0.3">
      <c r="A4816" s="2">
        <v>45858.583333333343</v>
      </c>
      <c r="B4816">
        <f>3198.18973196309*(3/4)</f>
        <v>2398.642298972321</v>
      </c>
    </row>
    <row r="4817" spans="1:2" x14ac:dyDescent="0.3">
      <c r="A4817" s="2">
        <v>45858.625</v>
      </c>
      <c r="B4817">
        <f>3557.89469407944*(3/4)</f>
        <v>2668.4210205595823</v>
      </c>
    </row>
    <row r="4818" spans="1:2" x14ac:dyDescent="0.3">
      <c r="A4818" s="2">
        <v>45858.666666666657</v>
      </c>
      <c r="B4818">
        <f>3426.16951632266*(3/4)</f>
        <v>2569.6271372419942</v>
      </c>
    </row>
    <row r="4819" spans="1:2" x14ac:dyDescent="0.3">
      <c r="A4819" s="2">
        <v>45858.708333333343</v>
      </c>
      <c r="B4819">
        <f>4352.43964667296*(3/4)</f>
        <v>3264.3297350047169</v>
      </c>
    </row>
    <row r="4820" spans="1:2" x14ac:dyDescent="0.3">
      <c r="A4820" s="2">
        <v>45858.75</v>
      </c>
      <c r="B4820">
        <f>4310.66540123866*(3/4)</f>
        <v>3232.9990509289983</v>
      </c>
    </row>
    <row r="4821" spans="1:2" x14ac:dyDescent="0.3">
      <c r="A4821" s="2">
        <v>45858.791666666657</v>
      </c>
      <c r="B4821">
        <f>4091.79005230644*(3/4)</f>
        <v>3068.8425392298323</v>
      </c>
    </row>
    <row r="4822" spans="1:2" x14ac:dyDescent="0.3">
      <c r="A4822" s="2">
        <v>45858.833333333343</v>
      </c>
      <c r="B4822">
        <f>4553.33336766693*(3/4)</f>
        <v>3415.0000257501943</v>
      </c>
    </row>
    <row r="4823" spans="1:2" x14ac:dyDescent="0.3">
      <c r="A4823" s="2">
        <v>45858.875</v>
      </c>
      <c r="B4823">
        <f>4268.28636812207*(3/4)</f>
        <v>3201.2147760915514</v>
      </c>
    </row>
    <row r="4824" spans="1:2" x14ac:dyDescent="0.3">
      <c r="A4824" s="2">
        <v>45858.916666666657</v>
      </c>
      <c r="B4824">
        <f>4062.49070914247*(3/4)</f>
        <v>3046.868031856854</v>
      </c>
    </row>
    <row r="4825" spans="1:2" x14ac:dyDescent="0.3">
      <c r="A4825" s="2">
        <v>45858.958333333343</v>
      </c>
      <c r="B4825">
        <f>4406.67468585377*(3/4)</f>
        <v>3305.0060143903274</v>
      </c>
    </row>
    <row r="4826" spans="1:2" x14ac:dyDescent="0.3">
      <c r="A4826" s="2">
        <v>45859</v>
      </c>
      <c r="B4826">
        <f>3920.54584653608*(3/4)</f>
        <v>2940.409384902061</v>
      </c>
    </row>
    <row r="4827" spans="1:2" x14ac:dyDescent="0.3">
      <c r="A4827" s="2">
        <v>45859.041666666657</v>
      </c>
      <c r="B4827">
        <f>4136.47055113938*(3/4)</f>
        <v>3102.352913354538</v>
      </c>
    </row>
    <row r="4828" spans="1:2" x14ac:dyDescent="0.3">
      <c r="A4828" s="2">
        <v>45859.083333333343</v>
      </c>
      <c r="B4828">
        <f>3939.75589740325*(3/4)</f>
        <v>2954.8169230524391</v>
      </c>
    </row>
    <row r="4829" spans="1:2" x14ac:dyDescent="0.3">
      <c r="A4829" s="2">
        <v>45859.125</v>
      </c>
      <c r="B4829">
        <f>4185.79546228528*(3/4)</f>
        <v>3139.3465967139596</v>
      </c>
    </row>
    <row r="4830" spans="1:2" x14ac:dyDescent="0.3">
      <c r="A4830" s="2">
        <v>45859.166666666657</v>
      </c>
      <c r="B4830">
        <f>4374.19409372378*(3/4)</f>
        <v>3280.645570292837</v>
      </c>
    </row>
    <row r="4831" spans="1:2" x14ac:dyDescent="0.3">
      <c r="A4831" s="2">
        <v>45859.208333333343</v>
      </c>
      <c r="B4831">
        <f>4327.30183710002*(3/4)</f>
        <v>3245.4763778250126</v>
      </c>
    </row>
    <row r="4832" spans="1:2" x14ac:dyDescent="0.3">
      <c r="A4832" s="2">
        <v>45859.25</v>
      </c>
      <c r="B4832">
        <f>3945.39553790565*(3/4)</f>
        <v>2959.0466534292364</v>
      </c>
    </row>
    <row r="4833" spans="1:2" x14ac:dyDescent="0.3">
      <c r="A4833" s="2">
        <v>45859.291666666657</v>
      </c>
      <c r="B4833">
        <f>4109.51517889264*(3/4)</f>
        <v>3082.1363841694792</v>
      </c>
    </row>
    <row r="4834" spans="1:2" x14ac:dyDescent="0.3">
      <c r="A4834" s="2">
        <v>45859.333333333343</v>
      </c>
      <c r="B4834">
        <f>4031.55626385109*(3/4)</f>
        <v>3023.6671978883178</v>
      </c>
    </row>
    <row r="4835" spans="1:2" x14ac:dyDescent="0.3">
      <c r="A4835" s="2">
        <v>45859.375</v>
      </c>
      <c r="B4835">
        <f>4326.63527711274*(3/4)</f>
        <v>3244.976457834553</v>
      </c>
    </row>
    <row r="4836" spans="1:2" x14ac:dyDescent="0.3">
      <c r="A4836" s="2">
        <v>45859.416666666657</v>
      </c>
      <c r="B4836">
        <f>4089.65781862488*(3/4)</f>
        <v>3067.243363968661</v>
      </c>
    </row>
    <row r="4837" spans="1:2" x14ac:dyDescent="0.3">
      <c r="A4837" s="2">
        <v>45859.458333333343</v>
      </c>
      <c r="B4837">
        <f>4278.25930824243*(3/4)</f>
        <v>3208.6944811818257</v>
      </c>
    </row>
    <row r="4838" spans="1:2" x14ac:dyDescent="0.3">
      <c r="A4838" s="2">
        <v>45859.5</v>
      </c>
      <c r="B4838">
        <f>4445.72365379126*(3/4)</f>
        <v>3334.2927403434478</v>
      </c>
    </row>
    <row r="4839" spans="1:2" x14ac:dyDescent="0.3">
      <c r="A4839" s="2">
        <v>45859.541666666657</v>
      </c>
      <c r="B4839">
        <f>4418.69632216144*(3/4)</f>
        <v>3314.0222416210772</v>
      </c>
    </row>
    <row r="4840" spans="1:2" x14ac:dyDescent="0.3">
      <c r="A4840" s="2">
        <v>45859.583333333343</v>
      </c>
      <c r="B4840">
        <f>3851.58054895318*(3/4)</f>
        <v>2888.6854117148841</v>
      </c>
    </row>
    <row r="4841" spans="1:2" x14ac:dyDescent="0.3">
      <c r="A4841" s="2">
        <v>45859.625</v>
      </c>
      <c r="B4841">
        <f>4084.66975977299*(3/4)</f>
        <v>3063.5023198297422</v>
      </c>
    </row>
    <row r="4842" spans="1:2" x14ac:dyDescent="0.3">
      <c r="A4842" s="2">
        <v>45859.666666666657</v>
      </c>
      <c r="B4842">
        <f>4262.79145838883*(3/4)</f>
        <v>3197.0935937916242</v>
      </c>
    </row>
    <row r="4843" spans="1:2" x14ac:dyDescent="0.3">
      <c r="A4843" s="2">
        <v>45859.708333333343</v>
      </c>
      <c r="B4843">
        <f>4408.21115188825*(3/4)</f>
        <v>3306.1583639161845</v>
      </c>
    </row>
    <row r="4844" spans="1:2" x14ac:dyDescent="0.3">
      <c r="A4844" s="2">
        <v>45859.75</v>
      </c>
      <c r="B4844">
        <f>4204.43214448966*(3/4)</f>
        <v>3153.3241083672474</v>
      </c>
    </row>
    <row r="4845" spans="1:2" x14ac:dyDescent="0.3">
      <c r="A4845" s="2">
        <v>45859.791666666657</v>
      </c>
      <c r="B4845">
        <f>4315.60124499717*(3/4)</f>
        <v>3236.7009337478758</v>
      </c>
    </row>
    <row r="4846" spans="1:2" x14ac:dyDescent="0.3">
      <c r="A4846" s="2">
        <v>45859.833333333343</v>
      </c>
      <c r="B4846">
        <f>4176.65047483565*(3/4)</f>
        <v>3132.4878561267378</v>
      </c>
    </row>
    <row r="4847" spans="1:2" x14ac:dyDescent="0.3">
      <c r="A4847" s="2">
        <v>45859.875</v>
      </c>
      <c r="B4847">
        <f>3917.02326847089*(3/4)</f>
        <v>2937.7674513531711</v>
      </c>
    </row>
    <row r="4848" spans="1:2" x14ac:dyDescent="0.3">
      <c r="A4848" s="2">
        <v>45859.916666666657</v>
      </c>
      <c r="B4848">
        <f>3918.58427261301*(3/4)</f>
        <v>2938.9382044597614</v>
      </c>
    </row>
    <row r="4849" spans="1:2" x14ac:dyDescent="0.3">
      <c r="A4849" s="2">
        <v>45859.958333333343</v>
      </c>
      <c r="B4849">
        <f>4134.48679613795*(3/4)</f>
        <v>3100.8650971034604</v>
      </c>
    </row>
    <row r="4850" spans="1:2" x14ac:dyDescent="0.3">
      <c r="A4850" s="2">
        <v>45860</v>
      </c>
      <c r="B4850">
        <f>4034.26542833839*(3/4)</f>
        <v>3025.699071253795</v>
      </c>
    </row>
    <row r="4851" spans="1:2" x14ac:dyDescent="0.3">
      <c r="A4851" s="2">
        <v>45860.041666666657</v>
      </c>
      <c r="B4851">
        <f>3970.27658135085*(3/4)</f>
        <v>2977.7074360131369</v>
      </c>
    </row>
    <row r="4852" spans="1:2" x14ac:dyDescent="0.3">
      <c r="A4852" s="2">
        <v>45860.083333333343</v>
      </c>
      <c r="B4852">
        <f>4062.05986495377*(3/4)</f>
        <v>3046.5448987153241</v>
      </c>
    </row>
    <row r="4853" spans="1:2" x14ac:dyDescent="0.3">
      <c r="A4853" s="2">
        <v>45860.125</v>
      </c>
      <c r="B4853">
        <f>4062.69121204566*(3/4)</f>
        <v>3047.018409034245</v>
      </c>
    </row>
    <row r="4854" spans="1:2" x14ac:dyDescent="0.3">
      <c r="A4854" s="2">
        <v>45860.166666666657</v>
      </c>
      <c r="B4854">
        <f>4312.12236043267*(3/4)</f>
        <v>3234.0917703245022</v>
      </c>
    </row>
    <row r="4855" spans="1:2" x14ac:dyDescent="0.3">
      <c r="A4855" s="2">
        <v>45860.208333333343</v>
      </c>
      <c r="B4855">
        <f>4076.47719489969*(3/4)</f>
        <v>3057.3578961747708</v>
      </c>
    </row>
    <row r="4856" spans="1:2" x14ac:dyDescent="0.3">
      <c r="A4856" s="2">
        <v>45860.25</v>
      </c>
      <c r="B4856">
        <f>3753.56625980659*(3/4)</f>
        <v>2815.1746948549403</v>
      </c>
    </row>
    <row r="4857" spans="1:2" x14ac:dyDescent="0.3">
      <c r="A4857" s="2">
        <v>45860.291666666657</v>
      </c>
      <c r="B4857">
        <f>4008.28662366277*(3/4)</f>
        <v>3006.2149677470761</v>
      </c>
    </row>
    <row r="4858" spans="1:2" x14ac:dyDescent="0.3">
      <c r="A4858" s="2">
        <v>45860.333333333343</v>
      </c>
      <c r="B4858">
        <f>4388.74888073659*(3/4)</f>
        <v>3291.5616605524424</v>
      </c>
    </row>
    <row r="4859" spans="1:2" x14ac:dyDescent="0.3">
      <c r="A4859" s="2">
        <v>45860.375</v>
      </c>
      <c r="B4859">
        <f>4459.31975476474*(3/4)</f>
        <v>3344.4898160735511</v>
      </c>
    </row>
    <row r="4860" spans="1:2" x14ac:dyDescent="0.3">
      <c r="A4860" s="2">
        <v>45860.416666666657</v>
      </c>
      <c r="B4860">
        <f>4498.63579466942*(3/4)</f>
        <v>3373.9768460020614</v>
      </c>
    </row>
    <row r="4861" spans="1:2" x14ac:dyDescent="0.3">
      <c r="A4861" s="2">
        <v>45860.458333333343</v>
      </c>
      <c r="B4861">
        <f>4263.19850837988*(3/4)</f>
        <v>3197.3988812849066</v>
      </c>
    </row>
    <row r="4862" spans="1:2" x14ac:dyDescent="0.3">
      <c r="A4862" s="2">
        <v>45860.5</v>
      </c>
      <c r="B4862">
        <f>4740.68271135044*(3/4)</f>
        <v>3555.5120335128295</v>
      </c>
    </row>
    <row r="4863" spans="1:2" x14ac:dyDescent="0.3">
      <c r="A4863" s="2">
        <v>45860.541666666657</v>
      </c>
      <c r="B4863">
        <f>4347.12533025422*(3/4)</f>
        <v>3260.3439976906616</v>
      </c>
    </row>
    <row r="4864" spans="1:2" x14ac:dyDescent="0.3">
      <c r="A4864" s="2">
        <v>45860.583333333343</v>
      </c>
      <c r="B4864">
        <f>3892.26477242107*(3/4)</f>
        <v>2919.1985793158028</v>
      </c>
    </row>
    <row r="4865" spans="1:2" x14ac:dyDescent="0.3">
      <c r="A4865" s="2">
        <v>45860.625</v>
      </c>
      <c r="B4865">
        <f>3958.35488244529*(3/4)</f>
        <v>2968.7661618339657</v>
      </c>
    </row>
    <row r="4866" spans="1:2" x14ac:dyDescent="0.3">
      <c r="A4866" s="2">
        <v>45860.666666666657</v>
      </c>
      <c r="B4866">
        <f>4278.15746552664*(3/4)</f>
        <v>3208.6180991449828</v>
      </c>
    </row>
    <row r="4867" spans="1:2" x14ac:dyDescent="0.3">
      <c r="A4867" s="2">
        <v>45860.708333333343</v>
      </c>
      <c r="B4867">
        <f>4191.7007034839*(3/4)</f>
        <v>3143.7755276129283</v>
      </c>
    </row>
    <row r="4868" spans="1:2" x14ac:dyDescent="0.3">
      <c r="A4868" s="2">
        <v>45860.75</v>
      </c>
      <c r="B4868">
        <f>4038.98374755095*(3/4)</f>
        <v>3029.2378106632095</v>
      </c>
    </row>
    <row r="4869" spans="1:2" x14ac:dyDescent="0.3">
      <c r="A4869" s="2">
        <v>45860.791666666657</v>
      </c>
      <c r="B4869">
        <f>4125.32092529643*(3/4)</f>
        <v>3093.9906939723214</v>
      </c>
    </row>
    <row r="4870" spans="1:2" x14ac:dyDescent="0.3">
      <c r="A4870" s="2">
        <v>45860.833333333343</v>
      </c>
      <c r="B4870">
        <f>4662.75503891768*(3/4)</f>
        <v>3497.0662791882605</v>
      </c>
    </row>
    <row r="4871" spans="1:2" x14ac:dyDescent="0.3">
      <c r="A4871" s="2">
        <v>45860.875</v>
      </c>
      <c r="B4871">
        <f>4529.03655513519*(3/4)</f>
        <v>3396.7774163513959</v>
      </c>
    </row>
    <row r="4872" spans="1:2" x14ac:dyDescent="0.3">
      <c r="A4872" s="2">
        <v>45860.916666666657</v>
      </c>
      <c r="B4872">
        <f>3866.9068296175*(3/4)</f>
        <v>2900.1801222131257</v>
      </c>
    </row>
    <row r="4873" spans="1:2" x14ac:dyDescent="0.3">
      <c r="A4873" s="2">
        <v>45860.958333333343</v>
      </c>
      <c r="B4873">
        <f>4200.12395821267*(3/4)</f>
        <v>3150.0929686595</v>
      </c>
    </row>
    <row r="4874" spans="1:2" x14ac:dyDescent="0.3">
      <c r="A4874" s="2">
        <v>45861</v>
      </c>
      <c r="B4874">
        <f>4308.70672797907*(3/4)</f>
        <v>3231.5300459842992</v>
      </c>
    </row>
    <row r="4875" spans="1:2" x14ac:dyDescent="0.3">
      <c r="A4875" s="2">
        <v>45861.041666666657</v>
      </c>
      <c r="B4875">
        <f>4319.30511613132*(3/4)</f>
        <v>3239.4788370984879</v>
      </c>
    </row>
    <row r="4876" spans="1:2" x14ac:dyDescent="0.3">
      <c r="A4876" s="2">
        <v>45861.083333333343</v>
      </c>
      <c r="B4876">
        <f>4227.1970929433*(3/4)</f>
        <v>3170.397819707473</v>
      </c>
    </row>
    <row r="4877" spans="1:2" x14ac:dyDescent="0.3">
      <c r="A4877" s="2">
        <v>45861.125</v>
      </c>
      <c r="B4877">
        <f>3975.94908484255*(3/4)</f>
        <v>2981.9618136319132</v>
      </c>
    </row>
    <row r="4878" spans="1:2" x14ac:dyDescent="0.3">
      <c r="A4878" s="2">
        <v>45861.166666666657</v>
      </c>
      <c r="B4878">
        <f>4658.19476377619*(3/4)</f>
        <v>3493.6460728321417</v>
      </c>
    </row>
    <row r="4879" spans="1:2" x14ac:dyDescent="0.3">
      <c r="A4879" s="2">
        <v>45861.208333333343</v>
      </c>
      <c r="B4879">
        <f>4188.4027207952*(3/4)</f>
        <v>3141.3020405963989</v>
      </c>
    </row>
    <row r="4880" spans="1:2" x14ac:dyDescent="0.3">
      <c r="A4880" s="2">
        <v>45861.25</v>
      </c>
      <c r="B4880">
        <f>3977.9035947094*(3/4)</f>
        <v>2983.4276960320499</v>
      </c>
    </row>
    <row r="4881" spans="1:2" x14ac:dyDescent="0.3">
      <c r="A4881" s="2">
        <v>45861.291666666657</v>
      </c>
      <c r="B4881">
        <f>4339.02672745658*(3/4)</f>
        <v>3254.270045592436</v>
      </c>
    </row>
    <row r="4882" spans="1:2" x14ac:dyDescent="0.3">
      <c r="A4882" s="2">
        <v>45861.333333333343</v>
      </c>
      <c r="B4882">
        <f>4250.31739456294*(3/4)</f>
        <v>3187.7380459222013</v>
      </c>
    </row>
    <row r="4883" spans="1:2" x14ac:dyDescent="0.3">
      <c r="A4883" s="2">
        <v>45861.375</v>
      </c>
      <c r="B4883">
        <f>4043.93635381366*(3/4)</f>
        <v>3032.9522653602471</v>
      </c>
    </row>
    <row r="4884" spans="1:2" x14ac:dyDescent="0.3">
      <c r="A4884" s="2">
        <v>45861.416666666657</v>
      </c>
      <c r="B4884">
        <f>4240.84996492787*(3/4)</f>
        <v>3180.6374736959006</v>
      </c>
    </row>
    <row r="4885" spans="1:2" x14ac:dyDescent="0.3">
      <c r="A4885" s="2">
        <v>45861.458333333343</v>
      </c>
      <c r="B4885">
        <f>4362.5411888606*(3/4)</f>
        <v>3271.9058916454514</v>
      </c>
    </row>
    <row r="4886" spans="1:2" x14ac:dyDescent="0.3">
      <c r="A4886" s="2">
        <v>45861.5</v>
      </c>
      <c r="B4886">
        <f>4646.16956268973*(3/4)</f>
        <v>3484.6271720172995</v>
      </c>
    </row>
    <row r="4887" spans="1:2" x14ac:dyDescent="0.3">
      <c r="A4887" s="2">
        <v>45861.541666666657</v>
      </c>
      <c r="B4887">
        <f>4214.40939160349*(3/4)</f>
        <v>3160.8070437026208</v>
      </c>
    </row>
    <row r="4888" spans="1:2" x14ac:dyDescent="0.3">
      <c r="A4888" s="2">
        <v>45861.583333333343</v>
      </c>
      <c r="B4888">
        <f>3945.66657447997*(3/4)</f>
        <v>2959.2499308599804</v>
      </c>
    </row>
    <row r="4889" spans="1:2" x14ac:dyDescent="0.3">
      <c r="A4889" s="2">
        <v>45861.625</v>
      </c>
      <c r="B4889">
        <f>4142.42425691697*(3/4)</f>
        <v>3106.8181926877255</v>
      </c>
    </row>
    <row r="4890" spans="1:2" x14ac:dyDescent="0.3">
      <c r="A4890" s="2">
        <v>45861.666666666657</v>
      </c>
      <c r="B4890">
        <f>4348.12331557414*(3/4)</f>
        <v>3261.0924866806058</v>
      </c>
    </row>
    <row r="4891" spans="1:2" x14ac:dyDescent="0.3">
      <c r="A4891" s="2">
        <v>45861.708333333343</v>
      </c>
      <c r="B4891">
        <f>4042.53791915644*(3/4)</f>
        <v>3031.9034393673273</v>
      </c>
    </row>
    <row r="4892" spans="1:2" x14ac:dyDescent="0.3">
      <c r="A4892" s="2">
        <v>45861.75</v>
      </c>
      <c r="B4892">
        <f>4245.32898705483*(3/4)</f>
        <v>3183.9967402911243</v>
      </c>
    </row>
    <row r="4893" spans="1:2" x14ac:dyDescent="0.3">
      <c r="A4893" s="2">
        <v>45861.791666666657</v>
      </c>
      <c r="B4893">
        <f>4222.89996833112*(3/4)</f>
        <v>3167.174976248341</v>
      </c>
    </row>
    <row r="4894" spans="1:2" x14ac:dyDescent="0.3">
      <c r="A4894" s="2">
        <v>45861.833333333343</v>
      </c>
      <c r="B4894">
        <f>3924.64091655453*(3/4)</f>
        <v>2943.4806874158967</v>
      </c>
    </row>
    <row r="4895" spans="1:2" x14ac:dyDescent="0.3">
      <c r="A4895" s="2">
        <v>45861.875</v>
      </c>
      <c r="B4895">
        <f>3986.38796724706*(3/4)</f>
        <v>2989.7909754352959</v>
      </c>
    </row>
    <row r="4896" spans="1:2" x14ac:dyDescent="0.3">
      <c r="A4896" s="2">
        <v>45861.916666666657</v>
      </c>
      <c r="B4896">
        <f>3821.57602663778*(3/4)</f>
        <v>2866.1820199783328</v>
      </c>
    </row>
    <row r="4897" spans="1:2" x14ac:dyDescent="0.3">
      <c r="A4897" s="2">
        <v>45861.958333333343</v>
      </c>
      <c r="B4897">
        <f>4034.21876103616*(3/4)</f>
        <v>3025.6640707771176</v>
      </c>
    </row>
    <row r="4898" spans="1:2" x14ac:dyDescent="0.3">
      <c r="A4898" s="2">
        <v>45862</v>
      </c>
      <c r="B4898">
        <f>3825.91560298172*(3/4)</f>
        <v>2869.4367022362876</v>
      </c>
    </row>
    <row r="4899" spans="1:2" x14ac:dyDescent="0.3">
      <c r="A4899" s="2">
        <v>45862.041666666657</v>
      </c>
      <c r="B4899">
        <f>4216.75377319704*(3/4)</f>
        <v>3162.5653298977832</v>
      </c>
    </row>
    <row r="4900" spans="1:2" x14ac:dyDescent="0.3">
      <c r="A4900" s="2">
        <v>45862.083333333343</v>
      </c>
      <c r="B4900">
        <f>3981.4678551472*(3/4)</f>
        <v>2986.1008913604037</v>
      </c>
    </row>
    <row r="4901" spans="1:2" x14ac:dyDescent="0.3">
      <c r="A4901" s="2">
        <v>45862.125</v>
      </c>
      <c r="B4901">
        <f>3953.1105528745*(3/4)</f>
        <v>2964.8329146558772</v>
      </c>
    </row>
    <row r="4902" spans="1:2" x14ac:dyDescent="0.3">
      <c r="A4902" s="2">
        <v>45862.166666666657</v>
      </c>
      <c r="B4902">
        <f>4100.54544015536*(3/4)</f>
        <v>3075.4090801165225</v>
      </c>
    </row>
    <row r="4903" spans="1:2" x14ac:dyDescent="0.3">
      <c r="A4903" s="2">
        <v>45862.208333333343</v>
      </c>
      <c r="B4903">
        <f>3950.4678762227*(3/4)</f>
        <v>2962.8509071670278</v>
      </c>
    </row>
    <row r="4904" spans="1:2" x14ac:dyDescent="0.3">
      <c r="A4904" s="2">
        <v>45862.25</v>
      </c>
      <c r="B4904">
        <f>4136.89708414045*(3/4)</f>
        <v>3102.6728131053346</v>
      </c>
    </row>
    <row r="4905" spans="1:2" x14ac:dyDescent="0.3">
      <c r="A4905" s="2">
        <v>45862.291666666657</v>
      </c>
      <c r="B4905">
        <f>4442.41193029696*(3/4)</f>
        <v>3331.8089477227195</v>
      </c>
    </row>
    <row r="4906" spans="1:2" x14ac:dyDescent="0.3">
      <c r="A4906" s="2">
        <v>45862.333333333343</v>
      </c>
      <c r="B4906">
        <f>4303.85228004995*(3/4)</f>
        <v>3227.8892100374596</v>
      </c>
    </row>
    <row r="4907" spans="1:2" x14ac:dyDescent="0.3">
      <c r="A4907" s="2">
        <v>45862.375</v>
      </c>
      <c r="B4907">
        <f>4092.29083769649*(3/4)</f>
        <v>3069.2181282723677</v>
      </c>
    </row>
    <row r="4908" spans="1:2" x14ac:dyDescent="0.3">
      <c r="A4908" s="2">
        <v>45862.416666666657</v>
      </c>
      <c r="B4908">
        <f>4075.01681577561*(3/4)</f>
        <v>3056.2626118317085</v>
      </c>
    </row>
    <row r="4909" spans="1:2" x14ac:dyDescent="0.3">
      <c r="A4909" s="2">
        <v>45862.458333333343</v>
      </c>
      <c r="B4909">
        <f>4304.86633670711*(3/4)</f>
        <v>3228.6497525303294</v>
      </c>
    </row>
    <row r="4910" spans="1:2" x14ac:dyDescent="0.3">
      <c r="A4910" s="2">
        <v>45862.5</v>
      </c>
      <c r="B4910">
        <f>4134.4528171712*(3/4)</f>
        <v>3100.8396128784025</v>
      </c>
    </row>
    <row r="4911" spans="1:2" x14ac:dyDescent="0.3">
      <c r="A4911" s="2">
        <v>45862.541666666657</v>
      </c>
      <c r="B4911">
        <f>4096.91820534924*(3/4)</f>
        <v>3072.688654011934</v>
      </c>
    </row>
    <row r="4912" spans="1:2" x14ac:dyDescent="0.3">
      <c r="A4912" s="2">
        <v>45862.583333333343</v>
      </c>
      <c r="B4912">
        <f>4004.10975414024*(3/4)</f>
        <v>3003.0823156051806</v>
      </c>
    </row>
    <row r="4913" spans="1:2" x14ac:dyDescent="0.3">
      <c r="A4913" s="2">
        <v>45862.625</v>
      </c>
      <c r="B4913">
        <f>4103.67383335183*(3/4)</f>
        <v>3077.7553750138723</v>
      </c>
    </row>
    <row r="4914" spans="1:2" x14ac:dyDescent="0.3">
      <c r="A4914" s="2">
        <v>45862.666666666657</v>
      </c>
      <c r="B4914">
        <f>4131.29934132795*(3/4)</f>
        <v>3098.474505995965</v>
      </c>
    </row>
    <row r="4915" spans="1:2" x14ac:dyDescent="0.3">
      <c r="A4915" s="2">
        <v>45862.708333333343</v>
      </c>
      <c r="B4915">
        <f>4396.45057173888*(3/4)</f>
        <v>3297.3379288041569</v>
      </c>
    </row>
    <row r="4916" spans="1:2" x14ac:dyDescent="0.3">
      <c r="A4916" s="2">
        <v>45862.75</v>
      </c>
      <c r="B4916">
        <f>4069.53087329618*(3/4)</f>
        <v>3052.1481549721357</v>
      </c>
    </row>
    <row r="4917" spans="1:2" x14ac:dyDescent="0.3">
      <c r="A4917" s="2">
        <v>45862.791666666657</v>
      </c>
      <c r="B4917">
        <f>3884.20185792029*(3/4)</f>
        <v>2913.151393440221</v>
      </c>
    </row>
    <row r="4918" spans="1:2" x14ac:dyDescent="0.3">
      <c r="A4918" s="2">
        <v>45862.833333333343</v>
      </c>
      <c r="B4918">
        <f>4306.81888438468*(3/4)</f>
        <v>3230.1141632885087</v>
      </c>
    </row>
    <row r="4919" spans="1:2" x14ac:dyDescent="0.3">
      <c r="A4919" s="2">
        <v>45862.875</v>
      </c>
      <c r="B4919">
        <f>4114.53931098928*(3/4)</f>
        <v>3085.9044832419609</v>
      </c>
    </row>
    <row r="4920" spans="1:2" x14ac:dyDescent="0.3">
      <c r="A4920" s="2">
        <v>45862.916666666657</v>
      </c>
      <c r="B4920">
        <f>3890.37910420494*(3/4)</f>
        <v>2917.7843281537016</v>
      </c>
    </row>
    <row r="4921" spans="1:2" x14ac:dyDescent="0.3">
      <c r="A4921" s="2">
        <v>45862.958333333343</v>
      </c>
      <c r="B4921">
        <f>3942.40307640497*(3/4)</f>
        <v>2956.8023073037252</v>
      </c>
    </row>
    <row r="4922" spans="1:2" x14ac:dyDescent="0.3">
      <c r="A4922" s="2">
        <v>45863</v>
      </c>
      <c r="B4922">
        <f>4459.32645647956*(3/4)</f>
        <v>3344.4948423596688</v>
      </c>
    </row>
    <row r="4923" spans="1:2" x14ac:dyDescent="0.3">
      <c r="A4923" s="2">
        <v>45863.041666666657</v>
      </c>
      <c r="B4923">
        <f>3942.75058588821*(3/4)</f>
        <v>2957.0629394161574</v>
      </c>
    </row>
    <row r="4924" spans="1:2" x14ac:dyDescent="0.3">
      <c r="A4924" s="2">
        <v>45863.083333333343</v>
      </c>
      <c r="B4924">
        <f>4250.91516479029*(3/4)</f>
        <v>3188.1863735927141</v>
      </c>
    </row>
    <row r="4925" spans="1:2" x14ac:dyDescent="0.3">
      <c r="A4925" s="2">
        <v>45863.125</v>
      </c>
      <c r="B4925">
        <f>4149.83999342232*(3/4)</f>
        <v>3112.3799950667412</v>
      </c>
    </row>
    <row r="4926" spans="1:2" x14ac:dyDescent="0.3">
      <c r="A4926" s="2">
        <v>45863.166666666657</v>
      </c>
      <c r="B4926">
        <f>4113.39458258911*(3/4)</f>
        <v>3085.0459369418313</v>
      </c>
    </row>
    <row r="4927" spans="1:2" x14ac:dyDescent="0.3">
      <c r="A4927" s="2">
        <v>45863.208333333343</v>
      </c>
      <c r="B4927">
        <f>4232.72952349271*(3/4)</f>
        <v>3174.5471426195354</v>
      </c>
    </row>
    <row r="4928" spans="1:2" x14ac:dyDescent="0.3">
      <c r="A4928" s="2">
        <v>45863.25</v>
      </c>
      <c r="B4928">
        <f>4243.17123783854*(3/4)</f>
        <v>3182.3784283789078</v>
      </c>
    </row>
    <row r="4929" spans="1:2" x14ac:dyDescent="0.3">
      <c r="A4929" s="2">
        <v>45863.291666666657</v>
      </c>
      <c r="B4929">
        <f>4072.47740637538*(3/4)</f>
        <v>3054.3580547815327</v>
      </c>
    </row>
    <row r="4930" spans="1:2" x14ac:dyDescent="0.3">
      <c r="A4930" s="2">
        <v>45863.333333333343</v>
      </c>
      <c r="B4930">
        <f>4235.97372170624*(3/4)</f>
        <v>3176.9802912796795</v>
      </c>
    </row>
    <row r="4931" spans="1:2" x14ac:dyDescent="0.3">
      <c r="A4931" s="2">
        <v>45863.375</v>
      </c>
      <c r="B4931">
        <f>4164.1062271819*(3/4)</f>
        <v>3123.0796703864271</v>
      </c>
    </row>
    <row r="4932" spans="1:2" x14ac:dyDescent="0.3">
      <c r="A4932" s="2">
        <v>45863.416666666657</v>
      </c>
      <c r="B4932">
        <f>4423.49404165976*(3/4)</f>
        <v>3317.6205312448164</v>
      </c>
    </row>
    <row r="4933" spans="1:2" x14ac:dyDescent="0.3">
      <c r="A4933" s="2">
        <v>45863.458333333343</v>
      </c>
      <c r="B4933">
        <f>4096.03378721072*(3/4)</f>
        <v>3072.0253404080408</v>
      </c>
    </row>
    <row r="4934" spans="1:2" x14ac:dyDescent="0.3">
      <c r="A4934" s="2">
        <v>45863.5</v>
      </c>
      <c r="B4934">
        <f>4279.09689668672*(3/4)</f>
        <v>3209.3226725150375</v>
      </c>
    </row>
    <row r="4935" spans="1:2" x14ac:dyDescent="0.3">
      <c r="A4935" s="2">
        <v>45863.541666666657</v>
      </c>
      <c r="B4935">
        <f>4035.18447420588*(3/4)</f>
        <v>3026.388355654407</v>
      </c>
    </row>
    <row r="4936" spans="1:2" x14ac:dyDescent="0.3">
      <c r="A4936" s="2">
        <v>45863.583333333343</v>
      </c>
      <c r="B4936">
        <f>3997.67468772149*(3/4)</f>
        <v>2998.2560157911207</v>
      </c>
    </row>
    <row r="4937" spans="1:2" x14ac:dyDescent="0.3">
      <c r="A4937" s="2">
        <v>45863.625</v>
      </c>
      <c r="B4937">
        <f>4332.78047161535*(3/4)</f>
        <v>3249.5853537115117</v>
      </c>
    </row>
    <row r="4938" spans="1:2" x14ac:dyDescent="0.3">
      <c r="A4938" s="2">
        <v>45863.666666666657</v>
      </c>
      <c r="B4938">
        <f>4050.02290207442*(3/4)</f>
        <v>3037.5171765558134</v>
      </c>
    </row>
    <row r="4939" spans="1:2" x14ac:dyDescent="0.3">
      <c r="A4939" s="2">
        <v>45863.708333333343</v>
      </c>
      <c r="B4939">
        <f>4188.62291237922*(3/4)</f>
        <v>3141.4671842844136</v>
      </c>
    </row>
    <row r="4940" spans="1:2" x14ac:dyDescent="0.3">
      <c r="A4940" s="2">
        <v>45863.75</v>
      </c>
      <c r="B4940">
        <f>4411.95767773238*(3/4)</f>
        <v>3308.9682582992837</v>
      </c>
    </row>
    <row r="4941" spans="1:2" x14ac:dyDescent="0.3">
      <c r="A4941" s="2">
        <v>45863.791666666657</v>
      </c>
      <c r="B4941">
        <f>4185.19637509115*(3/4)</f>
        <v>3138.8972813183609</v>
      </c>
    </row>
    <row r="4942" spans="1:2" x14ac:dyDescent="0.3">
      <c r="A4942" s="2">
        <v>45863.833333333343</v>
      </c>
      <c r="B4942">
        <f>4487.06079572374*(3/4)</f>
        <v>3365.2955967928028</v>
      </c>
    </row>
    <row r="4943" spans="1:2" x14ac:dyDescent="0.3">
      <c r="A4943" s="2">
        <v>45863.875</v>
      </c>
      <c r="B4943">
        <f>4315.55169217166*(3/4)</f>
        <v>3236.663769128746</v>
      </c>
    </row>
    <row r="4944" spans="1:2" x14ac:dyDescent="0.3">
      <c r="A4944" s="2">
        <v>45863.916666666657</v>
      </c>
      <c r="B4944">
        <f>4055.65282113063*(3/4)</f>
        <v>3041.7396158479719</v>
      </c>
    </row>
    <row r="4945" spans="1:2" x14ac:dyDescent="0.3">
      <c r="A4945" s="2">
        <v>45863.958333333343</v>
      </c>
      <c r="B4945">
        <f>4089.47437294138*(3/4)</f>
        <v>3067.1057797060334</v>
      </c>
    </row>
    <row r="4946" spans="1:2" x14ac:dyDescent="0.3">
      <c r="A4946" s="2">
        <v>45864</v>
      </c>
      <c r="B4946">
        <f>4345.45039470711*(3/4)</f>
        <v>3259.0877960303337</v>
      </c>
    </row>
    <row r="4947" spans="1:2" x14ac:dyDescent="0.3">
      <c r="A4947" s="2">
        <v>45864.041666666657</v>
      </c>
      <c r="B4947">
        <f>4226.44805555038*(3/4)</f>
        <v>3169.8360416627856</v>
      </c>
    </row>
    <row r="4948" spans="1:2" x14ac:dyDescent="0.3">
      <c r="A4948" s="2">
        <v>45864.083333333343</v>
      </c>
      <c r="B4948">
        <f>4437.912023383*(3/4)</f>
        <v>3328.4340175372472</v>
      </c>
    </row>
    <row r="4949" spans="1:2" x14ac:dyDescent="0.3">
      <c r="A4949" s="2">
        <v>45864.125</v>
      </c>
      <c r="B4949">
        <f>4258.22277991163*(3/4)</f>
        <v>3193.6670849337252</v>
      </c>
    </row>
    <row r="4950" spans="1:2" x14ac:dyDescent="0.3">
      <c r="A4950" s="2">
        <v>45864.166666666657</v>
      </c>
      <c r="B4950">
        <f>4279.52864067808*(3/4)</f>
        <v>3209.6464805085616</v>
      </c>
    </row>
    <row r="4951" spans="1:2" x14ac:dyDescent="0.3">
      <c r="A4951" s="2">
        <v>45864.208333333343</v>
      </c>
      <c r="B4951">
        <f>4332.36615073316*(3/4)</f>
        <v>3249.274613049869</v>
      </c>
    </row>
    <row r="4952" spans="1:2" x14ac:dyDescent="0.3">
      <c r="A4952" s="2">
        <v>45864.25</v>
      </c>
      <c r="B4952">
        <f>4085.79791173356*(3/4)</f>
        <v>3064.348433800169</v>
      </c>
    </row>
    <row r="4953" spans="1:2" x14ac:dyDescent="0.3">
      <c r="A4953" s="2">
        <v>45864.291666666657</v>
      </c>
      <c r="B4953">
        <f>4169.18226683466*(3/4)</f>
        <v>3126.8867001259987</v>
      </c>
    </row>
    <row r="4954" spans="1:2" x14ac:dyDescent="0.3">
      <c r="A4954" s="2">
        <v>45864.333333333343</v>
      </c>
      <c r="B4954">
        <f>4282.50696291892*(3/4)</f>
        <v>3211.880222189192</v>
      </c>
    </row>
    <row r="4955" spans="1:2" x14ac:dyDescent="0.3">
      <c r="A4955" s="2">
        <v>45864.375</v>
      </c>
      <c r="B4955">
        <f>4336.98141963374*(3/4)</f>
        <v>3252.7360647253058</v>
      </c>
    </row>
    <row r="4956" spans="1:2" x14ac:dyDescent="0.3">
      <c r="A4956" s="2">
        <v>45864.416666666657</v>
      </c>
      <c r="B4956">
        <f>4127.15239182475*(3/4)</f>
        <v>3095.3642938685598</v>
      </c>
    </row>
    <row r="4957" spans="1:2" x14ac:dyDescent="0.3">
      <c r="A4957" s="2">
        <v>45864.458333333343</v>
      </c>
      <c r="B4957">
        <f>4273.2044680564*(3/4)</f>
        <v>3204.9033510422969</v>
      </c>
    </row>
    <row r="4958" spans="1:2" x14ac:dyDescent="0.3">
      <c r="A4958" s="2">
        <v>45864.5</v>
      </c>
      <c r="B4958">
        <f>4021.86677370334*(3/4)</f>
        <v>3016.4000802775081</v>
      </c>
    </row>
    <row r="4959" spans="1:2" x14ac:dyDescent="0.3">
      <c r="A4959" s="2">
        <v>45864.541666666657</v>
      </c>
      <c r="B4959">
        <f>4201.59453989186*(3/4)</f>
        <v>3151.1959049188954</v>
      </c>
    </row>
    <row r="4960" spans="1:2" x14ac:dyDescent="0.3">
      <c r="A4960" s="2">
        <v>45864.583333333343</v>
      </c>
      <c r="B4960">
        <f>4003.22196544132*(3/4)</f>
        <v>3002.4164740809892</v>
      </c>
    </row>
    <row r="4961" spans="1:2" x14ac:dyDescent="0.3">
      <c r="A4961" s="2">
        <v>45864.625</v>
      </c>
      <c r="B4961">
        <f>3968.09908451371*(3/4)</f>
        <v>2976.0743133852834</v>
      </c>
    </row>
    <row r="4962" spans="1:2" x14ac:dyDescent="0.3">
      <c r="A4962" s="2">
        <v>45864.666666666657</v>
      </c>
      <c r="B4962">
        <f>4451.78458303782*(3/4)</f>
        <v>3338.8384372783621</v>
      </c>
    </row>
    <row r="4963" spans="1:2" x14ac:dyDescent="0.3">
      <c r="A4963" s="2">
        <v>45864.708333333343</v>
      </c>
      <c r="B4963">
        <f>4076.88779999438*(3/4)</f>
        <v>3057.6658499957857</v>
      </c>
    </row>
    <row r="4964" spans="1:2" x14ac:dyDescent="0.3">
      <c r="A4964" s="2">
        <v>45864.75</v>
      </c>
      <c r="B4964">
        <f>4209.05484050037*(3/4)</f>
        <v>3156.791130375279</v>
      </c>
    </row>
    <row r="4965" spans="1:2" x14ac:dyDescent="0.3">
      <c r="A4965" s="2">
        <v>45864.791666666657</v>
      </c>
      <c r="B4965">
        <f>4076.0047686769*(3/4)</f>
        <v>3057.0035765076764</v>
      </c>
    </row>
    <row r="4966" spans="1:2" x14ac:dyDescent="0.3">
      <c r="A4966" s="2">
        <v>45864.833333333343</v>
      </c>
      <c r="B4966">
        <f>4628.90378664205*(3/4)</f>
        <v>3471.6778399815394</v>
      </c>
    </row>
    <row r="4967" spans="1:2" x14ac:dyDescent="0.3">
      <c r="A4967" s="2">
        <v>45864.875</v>
      </c>
      <c r="B4967">
        <f>4095.25963979968*(3/4)</f>
        <v>3071.4447298497607</v>
      </c>
    </row>
    <row r="4968" spans="1:2" x14ac:dyDescent="0.3">
      <c r="A4968" s="2">
        <v>45864.916666666657</v>
      </c>
      <c r="B4968">
        <f>3785.32541883329*(3/4)</f>
        <v>2838.9940641249646</v>
      </c>
    </row>
    <row r="4969" spans="1:2" x14ac:dyDescent="0.3">
      <c r="A4969" s="2">
        <v>45864.958333333343</v>
      </c>
      <c r="B4969">
        <f>3884.21414441358*(3/4)</f>
        <v>2913.1606083101879</v>
      </c>
    </row>
    <row r="4970" spans="1:2" x14ac:dyDescent="0.3">
      <c r="A4970" s="2">
        <v>45865</v>
      </c>
      <c r="B4970">
        <f>4333.3716796612*(3/4)</f>
        <v>3250.0287597458982</v>
      </c>
    </row>
    <row r="4971" spans="1:2" x14ac:dyDescent="0.3">
      <c r="A4971" s="2">
        <v>45865.041666666657</v>
      </c>
      <c r="B4971">
        <f>3940.27482168073*(3/4)</f>
        <v>2955.2061162605514</v>
      </c>
    </row>
    <row r="4972" spans="1:2" x14ac:dyDescent="0.3">
      <c r="A4972" s="2">
        <v>45865.083333333343</v>
      </c>
      <c r="B4972">
        <f>3913.64368463271*(3/4)</f>
        <v>2935.2327634745288</v>
      </c>
    </row>
    <row r="4973" spans="1:2" x14ac:dyDescent="0.3">
      <c r="A4973" s="2">
        <v>45865.125</v>
      </c>
      <c r="B4973">
        <f>4073.53348446121*(3/4)</f>
        <v>3055.1501133459105</v>
      </c>
    </row>
    <row r="4974" spans="1:2" x14ac:dyDescent="0.3">
      <c r="A4974" s="2">
        <v>45865.166666666657</v>
      </c>
      <c r="B4974">
        <f>3915.77453452747*(3/4)</f>
        <v>2936.8309008955989</v>
      </c>
    </row>
    <row r="4975" spans="1:2" x14ac:dyDescent="0.3">
      <c r="A4975" s="2">
        <v>45865.208333333343</v>
      </c>
      <c r="B4975">
        <f>4362.89553672434*(3/4)</f>
        <v>3272.1716525432539</v>
      </c>
    </row>
    <row r="4976" spans="1:2" x14ac:dyDescent="0.3">
      <c r="A4976" s="2">
        <v>45865.25</v>
      </c>
      <c r="B4976">
        <f>4110.85019406035*(3/4)</f>
        <v>3083.137645545266</v>
      </c>
    </row>
    <row r="4977" spans="1:2" x14ac:dyDescent="0.3">
      <c r="A4977" s="2">
        <v>45865.291666666657</v>
      </c>
      <c r="B4977">
        <f>4517.24135243192*(3/4)</f>
        <v>3387.9310143239381</v>
      </c>
    </row>
    <row r="4978" spans="1:2" x14ac:dyDescent="0.3">
      <c r="A4978" s="2">
        <v>45865.333333333343</v>
      </c>
      <c r="B4978">
        <f>3778.11582540425*(3/4)</f>
        <v>2833.5868690531906</v>
      </c>
    </row>
    <row r="4979" spans="1:2" x14ac:dyDescent="0.3">
      <c r="A4979" s="2">
        <v>45865.375</v>
      </c>
      <c r="B4979">
        <f>3520.49606080627*(3/4)</f>
        <v>2640.372045604704</v>
      </c>
    </row>
    <row r="4980" spans="1:2" x14ac:dyDescent="0.3">
      <c r="A4980" s="2">
        <v>45865.416666666657</v>
      </c>
      <c r="B4980">
        <f>3673.29135547877*(3/4)</f>
        <v>2754.9685166090767</v>
      </c>
    </row>
    <row r="4981" spans="1:2" x14ac:dyDescent="0.3">
      <c r="A4981" s="2">
        <v>45865.458333333343</v>
      </c>
      <c r="B4981">
        <f>3162.31989861356*(3/4)</f>
        <v>2371.73992396017</v>
      </c>
    </row>
    <row r="4982" spans="1:2" x14ac:dyDescent="0.3">
      <c r="A4982" s="2">
        <v>45865.5</v>
      </c>
      <c r="B4982">
        <f>3381.52718168834*(3/4)</f>
        <v>2536.1453862662552</v>
      </c>
    </row>
    <row r="4983" spans="1:2" x14ac:dyDescent="0.3">
      <c r="A4983" s="2">
        <v>45865.541666666657</v>
      </c>
      <c r="B4983">
        <f>3425.68812506485*(3/4)</f>
        <v>2569.2660937986348</v>
      </c>
    </row>
    <row r="4984" spans="1:2" x14ac:dyDescent="0.3">
      <c r="A4984" s="2">
        <v>45865.583333333343</v>
      </c>
      <c r="B4984">
        <f>3264.73684145307*(3/4)</f>
        <v>2448.5526310898003</v>
      </c>
    </row>
    <row r="4985" spans="1:2" x14ac:dyDescent="0.3">
      <c r="A4985" s="2">
        <v>45865.625</v>
      </c>
      <c r="B4985">
        <f>3463.56286990989*(3/4)</f>
        <v>2597.6721524324203</v>
      </c>
    </row>
    <row r="4986" spans="1:2" x14ac:dyDescent="0.3">
      <c r="A4986" s="2">
        <v>45865.666666666657</v>
      </c>
      <c r="B4986">
        <f>3567.70580532143*(3/4)</f>
        <v>2675.7793539910731</v>
      </c>
    </row>
    <row r="4987" spans="1:2" x14ac:dyDescent="0.3">
      <c r="A4987" s="2">
        <v>45865.708333333343</v>
      </c>
      <c r="B4987">
        <f>4091.94609797213*(3/4)</f>
        <v>3068.959573479096</v>
      </c>
    </row>
    <row r="4988" spans="1:2" x14ac:dyDescent="0.3">
      <c r="A4988" s="2">
        <v>45865.75</v>
      </c>
      <c r="B4988">
        <f>4272.28163173475*(3/4)</f>
        <v>3204.2112238010604</v>
      </c>
    </row>
    <row r="4989" spans="1:2" x14ac:dyDescent="0.3">
      <c r="A4989" s="2">
        <v>45865.791666666657</v>
      </c>
      <c r="B4989">
        <f>3982.77543309125*(3/4)</f>
        <v>2987.0815748184355</v>
      </c>
    </row>
    <row r="4990" spans="1:2" x14ac:dyDescent="0.3">
      <c r="A4990" s="2">
        <v>45865.833333333343</v>
      </c>
      <c r="B4990">
        <f>4073.14385678449*(3/4)</f>
        <v>3054.8578925883653</v>
      </c>
    </row>
    <row r="4991" spans="1:2" x14ac:dyDescent="0.3">
      <c r="A4991" s="2">
        <v>45865.875</v>
      </c>
      <c r="B4991">
        <f>4415.62226104134*(3/4)</f>
        <v>3311.7166957810055</v>
      </c>
    </row>
    <row r="4992" spans="1:2" x14ac:dyDescent="0.3">
      <c r="A4992" s="2">
        <v>45865.916666666657</v>
      </c>
      <c r="B4992">
        <f>3705.89273682459*(3/4)</f>
        <v>2779.419552618443</v>
      </c>
    </row>
    <row r="4993" spans="1:2" x14ac:dyDescent="0.3">
      <c r="A4993" s="2">
        <v>45865.958333333343</v>
      </c>
      <c r="B4993">
        <f>4188.75248626039*(3/4)</f>
        <v>3141.5643646952908</v>
      </c>
    </row>
    <row r="4994" spans="1:2" x14ac:dyDescent="0.3">
      <c r="A4994" s="2">
        <v>45866</v>
      </c>
      <c r="B4994">
        <f>3850.23207466309*(3/4)</f>
        <v>2887.6740559973186</v>
      </c>
    </row>
    <row r="4995" spans="1:2" x14ac:dyDescent="0.3">
      <c r="A4995" s="2">
        <v>45866.041666666657</v>
      </c>
      <c r="B4995">
        <f>4079.11477443863*(3/4)</f>
        <v>3059.3360808289708</v>
      </c>
    </row>
    <row r="4996" spans="1:2" x14ac:dyDescent="0.3">
      <c r="A4996" s="2">
        <v>45866.083333333343</v>
      </c>
      <c r="B4996">
        <f>4057.67793362814*(3/4)</f>
        <v>3043.258450221108</v>
      </c>
    </row>
    <row r="4997" spans="1:2" x14ac:dyDescent="0.3">
      <c r="A4997" s="2">
        <v>45866.125</v>
      </c>
      <c r="B4997">
        <f>4053.64993946982*(3/4)</f>
        <v>3040.2374546023643</v>
      </c>
    </row>
    <row r="4998" spans="1:2" x14ac:dyDescent="0.3">
      <c r="A4998" s="2">
        <v>45866.166666666657</v>
      </c>
      <c r="B4998">
        <f>4566.90611627134*(3/4)</f>
        <v>3425.1795872035073</v>
      </c>
    </row>
    <row r="4999" spans="1:2" x14ac:dyDescent="0.3">
      <c r="A4999" s="2">
        <v>45866.208333333343</v>
      </c>
      <c r="B4999">
        <f>4346.14909201751*(3/4)</f>
        <v>3259.6118190131306</v>
      </c>
    </row>
    <row r="5000" spans="1:2" x14ac:dyDescent="0.3">
      <c r="A5000" s="2">
        <v>45866.25</v>
      </c>
      <c r="B5000">
        <f>3801.96227122513*(3/4)</f>
        <v>2851.4717034188475</v>
      </c>
    </row>
    <row r="5001" spans="1:2" x14ac:dyDescent="0.3">
      <c r="A5001" s="2">
        <v>45866.291666666657</v>
      </c>
      <c r="B5001">
        <f>4144.05560171581*(3/4)</f>
        <v>3108.0417012868547</v>
      </c>
    </row>
    <row r="5002" spans="1:2" x14ac:dyDescent="0.3">
      <c r="A5002" s="2">
        <v>45866.333333333343</v>
      </c>
      <c r="B5002">
        <f>4423.33829782957*(3/4)</f>
        <v>3317.5037233721741</v>
      </c>
    </row>
    <row r="5003" spans="1:2" x14ac:dyDescent="0.3">
      <c r="A5003" s="2">
        <v>45866.375</v>
      </c>
      <c r="B5003">
        <f>4158.8919099322*(3/4)</f>
        <v>3119.1689324491535</v>
      </c>
    </row>
    <row r="5004" spans="1:2" x14ac:dyDescent="0.3">
      <c r="A5004" s="2">
        <v>45866.416666666657</v>
      </c>
      <c r="B5004">
        <f>4176.77110812864*(3/4)</f>
        <v>3132.5783310964835</v>
      </c>
    </row>
    <row r="5005" spans="1:2" x14ac:dyDescent="0.3">
      <c r="A5005" s="2">
        <v>45866.458333333343</v>
      </c>
      <c r="B5005">
        <f>4378.63384776026*(3/4)</f>
        <v>3283.9753858201921</v>
      </c>
    </row>
    <row r="5006" spans="1:2" x14ac:dyDescent="0.3">
      <c r="A5006" s="2">
        <v>45866.5</v>
      </c>
      <c r="B5006">
        <f>4070.43509950939*(3/4)</f>
        <v>3052.826324632043</v>
      </c>
    </row>
    <row r="5007" spans="1:2" x14ac:dyDescent="0.3">
      <c r="A5007" s="2">
        <v>45866.541666666657</v>
      </c>
      <c r="B5007">
        <f>4099.0951732478*(3/4)</f>
        <v>3074.3213799358505</v>
      </c>
    </row>
    <row r="5008" spans="1:2" x14ac:dyDescent="0.3">
      <c r="A5008" s="2">
        <v>45866.583333333343</v>
      </c>
      <c r="B5008">
        <f>4110.99357168823*(3/4)</f>
        <v>3083.2451787661739</v>
      </c>
    </row>
    <row r="5009" spans="1:2" x14ac:dyDescent="0.3">
      <c r="A5009" s="2">
        <v>45866.625</v>
      </c>
      <c r="B5009">
        <f>4183.58643629897*(3/4)</f>
        <v>3137.6898272242306</v>
      </c>
    </row>
    <row r="5010" spans="1:2" x14ac:dyDescent="0.3">
      <c r="A5010" s="2">
        <v>45866.666666666657</v>
      </c>
      <c r="B5010">
        <f>4059.30559092522*(3/4)</f>
        <v>3044.4791931939121</v>
      </c>
    </row>
    <row r="5011" spans="1:2" x14ac:dyDescent="0.3">
      <c r="A5011" s="2">
        <v>45866.708333333343</v>
      </c>
      <c r="B5011">
        <f>4027.89517622423*(3/4)</f>
        <v>3020.921382168171</v>
      </c>
    </row>
    <row r="5012" spans="1:2" x14ac:dyDescent="0.3">
      <c r="A5012" s="2">
        <v>45866.75</v>
      </c>
      <c r="B5012">
        <f>4226.59511151847*(3/4)</f>
        <v>3169.9463336388535</v>
      </c>
    </row>
    <row r="5013" spans="1:2" x14ac:dyDescent="0.3">
      <c r="A5013" s="2">
        <v>45866.791666666657</v>
      </c>
      <c r="B5013">
        <f>4265.46276857921*(3/4)</f>
        <v>3199.0970764344047</v>
      </c>
    </row>
    <row r="5014" spans="1:2" x14ac:dyDescent="0.3">
      <c r="A5014" s="2">
        <v>45866.833333333343</v>
      </c>
      <c r="B5014">
        <f>4480.52207147051*(3/4)</f>
        <v>3360.3915536028853</v>
      </c>
    </row>
    <row r="5015" spans="1:2" x14ac:dyDescent="0.3">
      <c r="A5015" s="2">
        <v>45866.875</v>
      </c>
      <c r="B5015">
        <f>4360.94164062254*(3/4)</f>
        <v>3270.7062304669057</v>
      </c>
    </row>
    <row r="5016" spans="1:2" x14ac:dyDescent="0.3">
      <c r="A5016" s="2">
        <v>45866.916666666657</v>
      </c>
      <c r="B5016">
        <f>3823.1808654465*(3/4)</f>
        <v>2867.3856490848775</v>
      </c>
    </row>
    <row r="5017" spans="1:2" x14ac:dyDescent="0.3">
      <c r="A5017" s="2">
        <v>45866.958333333343</v>
      </c>
      <c r="B5017">
        <f>3893.4045102467*(3/4)</f>
        <v>2920.053382685026</v>
      </c>
    </row>
    <row r="5018" spans="1:2" x14ac:dyDescent="0.3">
      <c r="A5018" s="2">
        <v>45867</v>
      </c>
      <c r="B5018">
        <f>4336.13621772503*(3/4)</f>
        <v>3252.1021632937691</v>
      </c>
    </row>
    <row r="5019" spans="1:2" x14ac:dyDescent="0.3">
      <c r="A5019" s="2">
        <v>45867.041666666657</v>
      </c>
      <c r="B5019">
        <f>4064.56881081665*(3/4)</f>
        <v>3048.4266081124906</v>
      </c>
    </row>
    <row r="5020" spans="1:2" x14ac:dyDescent="0.3">
      <c r="A5020" s="2">
        <v>45867.083333333343</v>
      </c>
      <c r="B5020">
        <f>4118.66299143237*(3/4)</f>
        <v>3088.9972435742798</v>
      </c>
    </row>
    <row r="5021" spans="1:2" x14ac:dyDescent="0.3">
      <c r="A5021" s="2">
        <v>45867.125</v>
      </c>
      <c r="B5021">
        <f>4329.01241277686*(3/4)</f>
        <v>3246.7593095826442</v>
      </c>
    </row>
    <row r="5022" spans="1:2" x14ac:dyDescent="0.3">
      <c r="A5022" s="2">
        <v>45867.166666666657</v>
      </c>
      <c r="B5022">
        <f>4031.25382516529*(3/4)</f>
        <v>3023.4403688739676</v>
      </c>
    </row>
    <row r="5023" spans="1:2" x14ac:dyDescent="0.3">
      <c r="A5023" s="2">
        <v>45867.208333333343</v>
      </c>
      <c r="B5023">
        <f>4105.24055693558*(3/4)</f>
        <v>3078.9304177016857</v>
      </c>
    </row>
    <row r="5024" spans="1:2" x14ac:dyDescent="0.3">
      <c r="A5024" s="2">
        <v>45867.25</v>
      </c>
      <c r="B5024">
        <f>3797.4582093815*(3/4)</f>
        <v>2848.0936570361264</v>
      </c>
    </row>
    <row r="5025" spans="1:2" x14ac:dyDescent="0.3">
      <c r="A5025" s="2">
        <v>45867.291666666657</v>
      </c>
      <c r="B5025">
        <f>4136.20884127583*(3/4)</f>
        <v>3102.1566309568734</v>
      </c>
    </row>
    <row r="5026" spans="1:2" x14ac:dyDescent="0.3">
      <c r="A5026" s="2">
        <v>45867.333333333343</v>
      </c>
      <c r="B5026">
        <f>4738.86258357966*(3/4)</f>
        <v>3554.1469376847481</v>
      </c>
    </row>
    <row r="5027" spans="1:2" x14ac:dyDescent="0.3">
      <c r="A5027" s="2">
        <v>45867.375</v>
      </c>
      <c r="B5027">
        <f>4065.83409393005*(3/4)</f>
        <v>3049.3755704475352</v>
      </c>
    </row>
    <row r="5028" spans="1:2" x14ac:dyDescent="0.3">
      <c r="A5028" s="2">
        <v>45867.416666666657</v>
      </c>
      <c r="B5028">
        <f>4576.59814341683*(3/4)</f>
        <v>3432.4486075626201</v>
      </c>
    </row>
    <row r="5029" spans="1:2" x14ac:dyDescent="0.3">
      <c r="A5029" s="2">
        <v>45867.458333333343</v>
      </c>
      <c r="B5029">
        <f>3993.64324449547*(3/4)</f>
        <v>2995.2324333716033</v>
      </c>
    </row>
    <row r="5030" spans="1:2" x14ac:dyDescent="0.3">
      <c r="A5030" s="2">
        <v>45867.5</v>
      </c>
      <c r="B5030">
        <f>4311.61472879953*(3/4)</f>
        <v>3233.7110465996457</v>
      </c>
    </row>
    <row r="5031" spans="1:2" x14ac:dyDescent="0.3">
      <c r="A5031" s="2">
        <v>45867.541666666657</v>
      </c>
      <c r="B5031">
        <f>4150.74542157141*(3/4)</f>
        <v>3113.0590661785559</v>
      </c>
    </row>
    <row r="5032" spans="1:2" x14ac:dyDescent="0.3">
      <c r="A5032" s="2">
        <v>45867.583333333343</v>
      </c>
      <c r="B5032">
        <f>4109.99166044861*(3/4)</f>
        <v>3082.4937453364587</v>
      </c>
    </row>
    <row r="5033" spans="1:2" x14ac:dyDescent="0.3">
      <c r="A5033" s="2">
        <v>45867.625</v>
      </c>
      <c r="B5033">
        <f>4318.71917474529*(3/4)</f>
        <v>3239.0393810589694</v>
      </c>
    </row>
    <row r="5034" spans="1:2" x14ac:dyDescent="0.3">
      <c r="A5034" s="2">
        <v>45867.666666666657</v>
      </c>
      <c r="B5034">
        <f>4018.38832567871*(3/4)</f>
        <v>3013.7912442590296</v>
      </c>
    </row>
    <row r="5035" spans="1:2" x14ac:dyDescent="0.3">
      <c r="A5035" s="2">
        <v>45867.708333333343</v>
      </c>
      <c r="B5035">
        <f>4463.45476445393*(3/4)</f>
        <v>3347.5910733404439</v>
      </c>
    </row>
    <row r="5036" spans="1:2" x14ac:dyDescent="0.3">
      <c r="A5036" s="2">
        <v>45867.75</v>
      </c>
      <c r="B5036">
        <f>4185.07490669966*(3/4)</f>
        <v>3138.8061800247433</v>
      </c>
    </row>
    <row r="5037" spans="1:2" x14ac:dyDescent="0.3">
      <c r="A5037" s="2">
        <v>45867.791666666657</v>
      </c>
      <c r="B5037">
        <f>4079.21235332505*(3/4)</f>
        <v>3059.4092649937857</v>
      </c>
    </row>
    <row r="5038" spans="1:2" x14ac:dyDescent="0.3">
      <c r="A5038" s="2">
        <v>45867.833333333343</v>
      </c>
      <c r="B5038">
        <f>4285.52047181349*(3/4)</f>
        <v>3214.1403538601198</v>
      </c>
    </row>
    <row r="5039" spans="1:2" x14ac:dyDescent="0.3">
      <c r="A5039" s="2">
        <v>45867.875</v>
      </c>
      <c r="B5039">
        <f>4326.50570998647*(3/4)</f>
        <v>3244.8792824898524</v>
      </c>
    </row>
    <row r="5040" spans="1:2" x14ac:dyDescent="0.3">
      <c r="A5040" s="2">
        <v>45867.916666666657</v>
      </c>
      <c r="B5040">
        <f>3967.0696132077*(3/4)</f>
        <v>2975.3022099057762</v>
      </c>
    </row>
    <row r="5041" spans="1:2" x14ac:dyDescent="0.3">
      <c r="A5041" s="2">
        <v>45867.958333333343</v>
      </c>
      <c r="B5041">
        <f>4203.60448570134*(3/4)</f>
        <v>3152.7033642760016</v>
      </c>
    </row>
    <row r="5042" spans="1:2" x14ac:dyDescent="0.3">
      <c r="A5042" s="2">
        <v>45868</v>
      </c>
      <c r="B5042">
        <f>4316.76548508804*(3/4)</f>
        <v>3237.5741138160292</v>
      </c>
    </row>
    <row r="5043" spans="1:2" x14ac:dyDescent="0.3">
      <c r="A5043" s="2">
        <v>45868.041666666657</v>
      </c>
      <c r="B5043">
        <f>4145.3295187744*(3/4)</f>
        <v>3108.9971390808032</v>
      </c>
    </row>
    <row r="5044" spans="1:2" x14ac:dyDescent="0.3">
      <c r="A5044" s="2">
        <v>45868.083333333343</v>
      </c>
      <c r="B5044">
        <f>4016.72410506776*(3/4)</f>
        <v>3012.5430788008193</v>
      </c>
    </row>
    <row r="5045" spans="1:2" x14ac:dyDescent="0.3">
      <c r="A5045" s="2">
        <v>45868.125</v>
      </c>
      <c r="B5045">
        <f>4247.06179215909*(3/4)</f>
        <v>3185.2963441193197</v>
      </c>
    </row>
    <row r="5046" spans="1:2" x14ac:dyDescent="0.3">
      <c r="A5046" s="2">
        <v>45868.166666666657</v>
      </c>
      <c r="B5046">
        <f>4047.33050431924*(3/4)</f>
        <v>3035.4978782394269</v>
      </c>
    </row>
    <row r="5047" spans="1:2" x14ac:dyDescent="0.3">
      <c r="A5047" s="2">
        <v>45868.208333333343</v>
      </c>
      <c r="B5047">
        <f>3923.63486827513*(3/4)</f>
        <v>2942.7261512063451</v>
      </c>
    </row>
    <row r="5048" spans="1:2" x14ac:dyDescent="0.3">
      <c r="A5048" s="2">
        <v>45868.25</v>
      </c>
      <c r="B5048">
        <f>4036.0855096807*(3/4)</f>
        <v>3027.0641322605288</v>
      </c>
    </row>
    <row r="5049" spans="1:2" x14ac:dyDescent="0.3">
      <c r="A5049" s="2">
        <v>45868.291666666657</v>
      </c>
      <c r="B5049">
        <f>4020.7807731923*(3/4)</f>
        <v>3015.5855798942257</v>
      </c>
    </row>
    <row r="5050" spans="1:2" x14ac:dyDescent="0.3">
      <c r="A5050" s="2">
        <v>45868.333333333343</v>
      </c>
      <c r="B5050">
        <f>4268.17621579423*(3/4)</f>
        <v>3201.13216184567</v>
      </c>
    </row>
    <row r="5051" spans="1:2" x14ac:dyDescent="0.3">
      <c r="A5051" s="2">
        <v>45868.375</v>
      </c>
      <c r="B5051">
        <f>4265.64694862337*(3/4)</f>
        <v>3199.2352114675296</v>
      </c>
    </row>
    <row r="5052" spans="1:2" x14ac:dyDescent="0.3">
      <c r="A5052" s="2">
        <v>45868.416666666657</v>
      </c>
      <c r="B5052">
        <f>4246.87365714863*(3/4)</f>
        <v>3185.155242861475</v>
      </c>
    </row>
    <row r="5053" spans="1:2" x14ac:dyDescent="0.3">
      <c r="A5053" s="2">
        <v>45868.458333333343</v>
      </c>
      <c r="B5053">
        <f>4565.64432324516*(3/4)</f>
        <v>3424.2332424338665</v>
      </c>
    </row>
    <row r="5054" spans="1:2" x14ac:dyDescent="0.3">
      <c r="A5054" s="2">
        <v>45868.5</v>
      </c>
      <c r="B5054">
        <f>4336.04307355765*(3/4)</f>
        <v>3252.0323051682376</v>
      </c>
    </row>
    <row r="5055" spans="1:2" x14ac:dyDescent="0.3">
      <c r="A5055" s="2">
        <v>45868.541666666657</v>
      </c>
      <c r="B5055">
        <f>4425.57706545411*(3/4)</f>
        <v>3319.1827990905826</v>
      </c>
    </row>
    <row r="5056" spans="1:2" x14ac:dyDescent="0.3">
      <c r="A5056" s="2">
        <v>45868.583333333343</v>
      </c>
      <c r="B5056">
        <f>4146.80997120861*(3/4)</f>
        <v>3110.107478406454</v>
      </c>
    </row>
    <row r="5057" spans="1:2" x14ac:dyDescent="0.3">
      <c r="A5057" s="2">
        <v>45868.625</v>
      </c>
      <c r="B5057">
        <f>4484.02301284548*(3/4)</f>
        <v>3363.0172596341081</v>
      </c>
    </row>
    <row r="5058" spans="1:2" x14ac:dyDescent="0.3">
      <c r="A5058" s="2">
        <v>45868.666666666657</v>
      </c>
      <c r="B5058">
        <f>4342.69922433232*(3/4)</f>
        <v>3257.0244182492397</v>
      </c>
    </row>
    <row r="5059" spans="1:2" x14ac:dyDescent="0.3">
      <c r="A5059" s="2">
        <v>45868.708333333343</v>
      </c>
      <c r="B5059">
        <f>4022.17637759433*(3/4)</f>
        <v>3016.6322831957436</v>
      </c>
    </row>
    <row r="5060" spans="1:2" x14ac:dyDescent="0.3">
      <c r="A5060" s="2">
        <v>45868.75</v>
      </c>
      <c r="B5060">
        <f>4281.05467172912*(3/4)</f>
        <v>3210.7910037968427</v>
      </c>
    </row>
    <row r="5061" spans="1:2" x14ac:dyDescent="0.3">
      <c r="A5061" s="2">
        <v>45868.791666666657</v>
      </c>
      <c r="B5061">
        <f>4153.70021913643*(3/4)</f>
        <v>3115.2751643523211</v>
      </c>
    </row>
    <row r="5062" spans="1:2" x14ac:dyDescent="0.3">
      <c r="A5062" s="2">
        <v>45868.833333333343</v>
      </c>
      <c r="B5062">
        <f>4454.8176756492*(3/4)</f>
        <v>3341.1132567369023</v>
      </c>
    </row>
    <row r="5063" spans="1:2" x14ac:dyDescent="0.3">
      <c r="A5063" s="2">
        <v>45868.875</v>
      </c>
      <c r="B5063">
        <f>4176.73258810738*(3/4)</f>
        <v>3132.5494410805341</v>
      </c>
    </row>
    <row r="5064" spans="1:2" x14ac:dyDescent="0.3">
      <c r="A5064" s="2">
        <v>45868.916666666657</v>
      </c>
      <c r="B5064">
        <f>4126.91816798677*(3/4)</f>
        <v>3095.1886259900757</v>
      </c>
    </row>
    <row r="5065" spans="1:2" x14ac:dyDescent="0.3">
      <c r="A5065" s="2">
        <v>45868.958333333343</v>
      </c>
      <c r="B5065">
        <f>3944.19486872736*(3/4)</f>
        <v>2958.146151545523</v>
      </c>
    </row>
    <row r="5066" spans="1:2" x14ac:dyDescent="0.3">
      <c r="A5066" s="2">
        <v>45869</v>
      </c>
      <c r="B5066">
        <f>4078.50249113795*(3/4)</f>
        <v>3058.8768683534595</v>
      </c>
    </row>
    <row r="5067" spans="1:2" x14ac:dyDescent="0.3">
      <c r="A5067" s="2">
        <v>45869.041666666657</v>
      </c>
      <c r="B5067">
        <f>3993.03639596943*(3/4)</f>
        <v>2994.7772969770685</v>
      </c>
    </row>
    <row r="5068" spans="1:2" x14ac:dyDescent="0.3">
      <c r="A5068" s="2">
        <v>45869.083333333343</v>
      </c>
      <c r="B5068">
        <f>4224.91940597046*(3/4)</f>
        <v>3168.6895544778472</v>
      </c>
    </row>
    <row r="5069" spans="1:2" x14ac:dyDescent="0.3">
      <c r="A5069" s="2">
        <v>45869.125</v>
      </c>
      <c r="B5069">
        <f>4026.23807680889*(3/4)</f>
        <v>3019.678557606665</v>
      </c>
    </row>
    <row r="5070" spans="1:2" x14ac:dyDescent="0.3">
      <c r="A5070" s="2">
        <v>45869.166666666657</v>
      </c>
      <c r="B5070">
        <f>3867.05160858316*(3/4)</f>
        <v>2900.2887064373699</v>
      </c>
    </row>
    <row r="5071" spans="1:2" x14ac:dyDescent="0.3">
      <c r="A5071" s="2">
        <v>45869.208333333343</v>
      </c>
      <c r="B5071">
        <f>3936.73492227245*(3/4)</f>
        <v>2952.5511917043391</v>
      </c>
    </row>
    <row r="5072" spans="1:2" x14ac:dyDescent="0.3">
      <c r="A5072" s="2">
        <v>45869.25</v>
      </c>
      <c r="B5072">
        <f>4092.8231276618*(3/4)</f>
        <v>3069.6173457463537</v>
      </c>
    </row>
    <row r="5073" spans="1:2" x14ac:dyDescent="0.3">
      <c r="A5073" s="2">
        <v>45869.291666666657</v>
      </c>
      <c r="B5073">
        <f>4185.52250041277*(3/4)</f>
        <v>3139.1418753095745</v>
      </c>
    </row>
    <row r="5074" spans="1:2" x14ac:dyDescent="0.3">
      <c r="A5074" s="2">
        <v>45869.333333333343</v>
      </c>
      <c r="B5074">
        <f>4283.17679177488*(3/4)</f>
        <v>3212.3825938311602</v>
      </c>
    </row>
    <row r="5075" spans="1:2" x14ac:dyDescent="0.3">
      <c r="A5075" s="2">
        <v>45869.375</v>
      </c>
      <c r="B5075">
        <f>4261.82349361038*(3/4)</f>
        <v>3196.367620207785</v>
      </c>
    </row>
    <row r="5076" spans="1:2" x14ac:dyDescent="0.3">
      <c r="A5076" s="2">
        <v>45869.416666666657</v>
      </c>
      <c r="B5076">
        <f>4169.27251749519*(3/4)</f>
        <v>3126.9543881213958</v>
      </c>
    </row>
    <row r="5077" spans="1:2" x14ac:dyDescent="0.3">
      <c r="A5077" s="2">
        <v>45869.458333333343</v>
      </c>
      <c r="B5077">
        <f>4132.43653475378*(3/4)</f>
        <v>3099.3274010653331</v>
      </c>
    </row>
    <row r="5078" spans="1:2" x14ac:dyDescent="0.3">
      <c r="A5078" s="2">
        <v>45869.5</v>
      </c>
      <c r="B5078">
        <f>4163.69335714099*(3/4)</f>
        <v>3122.7700178557398</v>
      </c>
    </row>
    <row r="5079" spans="1:2" x14ac:dyDescent="0.3">
      <c r="A5079" s="2">
        <v>45869.541666666657</v>
      </c>
      <c r="B5079">
        <f>4020.76452222297*(3/4)</f>
        <v>3015.5733916672261</v>
      </c>
    </row>
    <row r="5080" spans="1:2" x14ac:dyDescent="0.3">
      <c r="A5080" s="2">
        <v>45869.583333333343</v>
      </c>
      <c r="B5080">
        <f>4201.30903092617*(3/4)</f>
        <v>3150.98177319463</v>
      </c>
    </row>
    <row r="5081" spans="1:2" x14ac:dyDescent="0.3">
      <c r="A5081" s="2">
        <v>45869.625</v>
      </c>
      <c r="B5081">
        <f>4065.96454388246*(3/4)</f>
        <v>3049.4734079118412</v>
      </c>
    </row>
    <row r="5082" spans="1:2" x14ac:dyDescent="0.3">
      <c r="A5082" s="2">
        <v>45869.666666666657</v>
      </c>
      <c r="B5082">
        <f>3943.80132020579*(3/4)</f>
        <v>2957.8509901543448</v>
      </c>
    </row>
    <row r="5083" spans="1:2" x14ac:dyDescent="0.3">
      <c r="A5083" s="2">
        <v>45869.708333333343</v>
      </c>
      <c r="B5083">
        <f>3997.22963490113*(3/4)</f>
        <v>2997.9222261758505</v>
      </c>
    </row>
    <row r="5084" spans="1:2" x14ac:dyDescent="0.3">
      <c r="A5084" s="2">
        <v>45869.75</v>
      </c>
      <c r="B5084">
        <f>4083.54211012343*(3/4)</f>
        <v>3062.6565825925745</v>
      </c>
    </row>
    <row r="5085" spans="1:2" x14ac:dyDescent="0.3">
      <c r="A5085" s="2">
        <v>45869.791666666657</v>
      </c>
      <c r="B5085">
        <f>4007.08970559752*(3/4)</f>
        <v>3005.3172791981424</v>
      </c>
    </row>
    <row r="5086" spans="1:2" x14ac:dyDescent="0.3">
      <c r="A5086" s="2">
        <v>45869.833333333343</v>
      </c>
      <c r="B5086">
        <f>4559.32282757361*(3/4)</f>
        <v>3419.4921206802064</v>
      </c>
    </row>
    <row r="5087" spans="1:2" x14ac:dyDescent="0.3">
      <c r="A5087" s="2">
        <v>45869.875</v>
      </c>
      <c r="B5087">
        <f>4483.10632417081*(3/4)</f>
        <v>3362.3297431281053</v>
      </c>
    </row>
    <row r="5088" spans="1:2" x14ac:dyDescent="0.3">
      <c r="A5088" s="2">
        <v>45869.916666666657</v>
      </c>
      <c r="B5088">
        <f>3864.96358626511*(3/4)</f>
        <v>2898.7226896988304</v>
      </c>
    </row>
    <row r="5089" spans="1:2" x14ac:dyDescent="0.3">
      <c r="A5089" s="2">
        <v>45869.958333333343</v>
      </c>
      <c r="B5089">
        <f>3897.41865025541*(3/4)</f>
        <v>2923.0639876915561</v>
      </c>
    </row>
    <row r="5090" spans="1:2" x14ac:dyDescent="0.3">
      <c r="A5090" s="2">
        <v>45870</v>
      </c>
      <c r="B5090">
        <f>4160.63067414974*(3/4)</f>
        <v>3120.4730056123058</v>
      </c>
    </row>
    <row r="5091" spans="1:2" x14ac:dyDescent="0.3">
      <c r="A5091" s="2">
        <v>45870.041666666657</v>
      </c>
      <c r="B5091">
        <f>3988.11742508891*(3/4)</f>
        <v>2991.0880688166826</v>
      </c>
    </row>
    <row r="5092" spans="1:2" x14ac:dyDescent="0.3">
      <c r="A5092" s="2">
        <v>45870.083333333343</v>
      </c>
      <c r="B5092">
        <f>4091.85552529524*(3/4)</f>
        <v>3068.8916439714271</v>
      </c>
    </row>
    <row r="5093" spans="1:2" x14ac:dyDescent="0.3">
      <c r="A5093" s="2">
        <v>45870.125</v>
      </c>
      <c r="B5093">
        <f>4038.34523358606*(3/4)</f>
        <v>3028.758925189547</v>
      </c>
    </row>
    <row r="5094" spans="1:2" x14ac:dyDescent="0.3">
      <c r="A5094" s="2">
        <v>45870.166666666657</v>
      </c>
      <c r="B5094">
        <f>3875.44145901185*(3/4)</f>
        <v>2906.5810942588873</v>
      </c>
    </row>
    <row r="5095" spans="1:2" x14ac:dyDescent="0.3">
      <c r="A5095" s="2">
        <v>45870.208333333343</v>
      </c>
      <c r="B5095">
        <f>4194.05628496619*(3/4)</f>
        <v>3145.5422137246392</v>
      </c>
    </row>
    <row r="5096" spans="1:2" x14ac:dyDescent="0.3">
      <c r="A5096" s="2">
        <v>45870.25</v>
      </c>
      <c r="B5096">
        <f>3794.06418639703*(3/4)</f>
        <v>2845.5481397977746</v>
      </c>
    </row>
    <row r="5097" spans="1:2" x14ac:dyDescent="0.3">
      <c r="A5097" s="2">
        <v>45870.291666666657</v>
      </c>
      <c r="B5097">
        <f>4270.53569588588*(3/4)</f>
        <v>3202.9017719144113</v>
      </c>
    </row>
    <row r="5098" spans="1:2" x14ac:dyDescent="0.3">
      <c r="A5098" s="2">
        <v>45870.333333333343</v>
      </c>
      <c r="B5098">
        <f>4487.32722837642*(3/4)</f>
        <v>3365.4954212823136</v>
      </c>
    </row>
    <row r="5099" spans="1:2" x14ac:dyDescent="0.3">
      <c r="A5099" s="2">
        <v>45870.375</v>
      </c>
      <c r="B5099">
        <f>4026.93531620735*(3/4)</f>
        <v>3020.2014871555161</v>
      </c>
    </row>
    <row r="5100" spans="1:2" x14ac:dyDescent="0.3">
      <c r="A5100" s="2">
        <v>45870.416666666657</v>
      </c>
      <c r="B5100">
        <f>4388.05266273088*(3/4)</f>
        <v>3291.0394970481575</v>
      </c>
    </row>
    <row r="5101" spans="1:2" x14ac:dyDescent="0.3">
      <c r="A5101" s="2">
        <v>45870.458333333343</v>
      </c>
      <c r="B5101">
        <f>4201.84303028274*(3/4)</f>
        <v>3151.3822727120551</v>
      </c>
    </row>
    <row r="5102" spans="1:2" x14ac:dyDescent="0.3">
      <c r="A5102" s="2">
        <v>45870.5</v>
      </c>
      <c r="B5102">
        <f>4184.08764269411*(3/4)</f>
        <v>3138.0657320205801</v>
      </c>
    </row>
    <row r="5103" spans="1:2" x14ac:dyDescent="0.3">
      <c r="A5103" s="2">
        <v>45870.541666666657</v>
      </c>
      <c r="B5103">
        <f>4006.86228925645*(3/4)</f>
        <v>3005.1467169423368</v>
      </c>
    </row>
    <row r="5104" spans="1:2" x14ac:dyDescent="0.3">
      <c r="A5104" s="2">
        <v>45870.583333333343</v>
      </c>
      <c r="B5104">
        <f>4021.96401831879*(3/4)</f>
        <v>3016.4730137390952</v>
      </c>
    </row>
    <row r="5105" spans="1:2" x14ac:dyDescent="0.3">
      <c r="A5105" s="2">
        <v>45870.625</v>
      </c>
      <c r="B5105">
        <f>4099.96580416547*(3/4)</f>
        <v>3074.974353124102</v>
      </c>
    </row>
    <row r="5106" spans="1:2" x14ac:dyDescent="0.3">
      <c r="A5106" s="2">
        <v>45870.666666666657</v>
      </c>
      <c r="B5106">
        <f>4132.41326709894*(3/4)</f>
        <v>3099.3099503242083</v>
      </c>
    </row>
    <row r="5107" spans="1:2" x14ac:dyDescent="0.3">
      <c r="A5107" s="2">
        <v>45870.708333333343</v>
      </c>
      <c r="B5107">
        <f>4181.83814862098*(3/4)</f>
        <v>3136.378611465735</v>
      </c>
    </row>
    <row r="5108" spans="1:2" x14ac:dyDescent="0.3">
      <c r="A5108" s="2">
        <v>45870.75</v>
      </c>
      <c r="B5108">
        <f>4278.90813209317*(3/4)</f>
        <v>3209.1810990698796</v>
      </c>
    </row>
    <row r="5109" spans="1:2" x14ac:dyDescent="0.3">
      <c r="A5109" s="2">
        <v>45870.791666666657</v>
      </c>
      <c r="B5109">
        <f>4322.23200136197*(3/4)</f>
        <v>3241.6740010214789</v>
      </c>
    </row>
    <row r="5110" spans="1:2" x14ac:dyDescent="0.3">
      <c r="A5110" s="2">
        <v>45870.833333333343</v>
      </c>
      <c r="B5110">
        <f>4078.79269251703*(3/4)</f>
        <v>3059.0945193877724</v>
      </c>
    </row>
    <row r="5111" spans="1:2" x14ac:dyDescent="0.3">
      <c r="A5111" s="2">
        <v>45870.875</v>
      </c>
      <c r="B5111">
        <f>4509.82625096799*(3/4)</f>
        <v>3382.3696882259924</v>
      </c>
    </row>
    <row r="5112" spans="1:2" x14ac:dyDescent="0.3">
      <c r="A5112" s="2">
        <v>45870.916666666657</v>
      </c>
      <c r="B5112">
        <f>3794.70105774056*(3/4)</f>
        <v>2846.0257933054218</v>
      </c>
    </row>
    <row r="5113" spans="1:2" x14ac:dyDescent="0.3">
      <c r="A5113" s="2">
        <v>45870.958333333343</v>
      </c>
      <c r="B5113">
        <f>4125.10347171302*(3/4)</f>
        <v>3093.8276037847654</v>
      </c>
    </row>
    <row r="5114" spans="1:2" x14ac:dyDescent="0.3">
      <c r="A5114" s="2">
        <v>45871</v>
      </c>
      <c r="B5114">
        <f>4320.99753561937*(3/4)</f>
        <v>3240.7481517145275</v>
      </c>
    </row>
    <row r="5115" spans="1:2" x14ac:dyDescent="0.3">
      <c r="A5115" s="2">
        <v>45871.041666666657</v>
      </c>
      <c r="B5115">
        <f>4238.16932773216*(3/4)</f>
        <v>3178.6269957991208</v>
      </c>
    </row>
    <row r="5116" spans="1:2" x14ac:dyDescent="0.3">
      <c r="A5116" s="2">
        <v>45871.083333333343</v>
      </c>
      <c r="B5116">
        <f>4249.35146135123*(3/4)</f>
        <v>3187.0135960134216</v>
      </c>
    </row>
    <row r="5117" spans="1:2" x14ac:dyDescent="0.3">
      <c r="A5117" s="2">
        <v>45871.125</v>
      </c>
      <c r="B5117">
        <f>3959.87162432913*(3/4)</f>
        <v>2969.9037182468492</v>
      </c>
    </row>
    <row r="5118" spans="1:2" x14ac:dyDescent="0.3">
      <c r="A5118" s="2">
        <v>45871.166666666657</v>
      </c>
      <c r="B5118">
        <f>4212.12053367805*(3/4)</f>
        <v>3159.0904002585344</v>
      </c>
    </row>
    <row r="5119" spans="1:2" x14ac:dyDescent="0.3">
      <c r="A5119" s="2">
        <v>45871.208333333343</v>
      </c>
      <c r="B5119">
        <f>4318.01052964758*(3/4)</f>
        <v>3238.5078972356887</v>
      </c>
    </row>
    <row r="5120" spans="1:2" x14ac:dyDescent="0.3">
      <c r="A5120" s="2">
        <v>45871.25</v>
      </c>
      <c r="B5120">
        <f>3741.19425500749*(3/4)</f>
        <v>2805.89569125562</v>
      </c>
    </row>
    <row r="5121" spans="1:2" x14ac:dyDescent="0.3">
      <c r="A5121" s="2">
        <v>45871.291666666657</v>
      </c>
      <c r="B5121">
        <f>4109.02357013319*(3/4)</f>
        <v>3081.7676775998948</v>
      </c>
    </row>
    <row r="5122" spans="1:2" x14ac:dyDescent="0.3">
      <c r="A5122" s="2">
        <v>45871.333333333343</v>
      </c>
      <c r="B5122">
        <f>4387.069356416*(3/4)</f>
        <v>3290.302017312003</v>
      </c>
    </row>
    <row r="5123" spans="1:2" x14ac:dyDescent="0.3">
      <c r="A5123" s="2">
        <v>45871.375</v>
      </c>
      <c r="B5123">
        <f>4061.73542422674*(3/4)</f>
        <v>3046.3015681700581</v>
      </c>
    </row>
    <row r="5124" spans="1:2" x14ac:dyDescent="0.3">
      <c r="A5124" s="2">
        <v>45871.416666666657</v>
      </c>
      <c r="B5124">
        <f>4183.8524363419*(3/4)</f>
        <v>3137.8893272564219</v>
      </c>
    </row>
    <row r="5125" spans="1:2" x14ac:dyDescent="0.3">
      <c r="A5125" s="2">
        <v>45871.458333333343</v>
      </c>
      <c r="B5125">
        <f>4005.15751318996*(3/4)</f>
        <v>3003.8681348924692</v>
      </c>
    </row>
    <row r="5126" spans="1:2" x14ac:dyDescent="0.3">
      <c r="A5126" s="2">
        <v>45871.5</v>
      </c>
      <c r="B5126">
        <f>4705.59824209188*(3/4)</f>
        <v>3529.198681568907</v>
      </c>
    </row>
    <row r="5127" spans="1:2" x14ac:dyDescent="0.3">
      <c r="A5127" s="2">
        <v>45871.541666666657</v>
      </c>
      <c r="B5127">
        <f>4116.01861486547*(3/4)</f>
        <v>3087.0139611491049</v>
      </c>
    </row>
    <row r="5128" spans="1:2" x14ac:dyDescent="0.3">
      <c r="A5128" s="2">
        <v>45871.583333333343</v>
      </c>
      <c r="B5128">
        <f>3794.21129314414*(3/4)</f>
        <v>2845.6584698581037</v>
      </c>
    </row>
    <row r="5129" spans="1:2" x14ac:dyDescent="0.3">
      <c r="A5129" s="2">
        <v>45871.625</v>
      </c>
      <c r="B5129">
        <f>4400.4668458472*(3/4)</f>
        <v>3300.3501343853986</v>
      </c>
    </row>
    <row r="5130" spans="1:2" x14ac:dyDescent="0.3">
      <c r="A5130" s="2">
        <v>45871.666666666657</v>
      </c>
      <c r="B5130">
        <f>4407.25294301143*(3/4)</f>
        <v>3305.4397072585734</v>
      </c>
    </row>
    <row r="5131" spans="1:2" x14ac:dyDescent="0.3">
      <c r="A5131" s="2">
        <v>45871.708333333343</v>
      </c>
      <c r="B5131">
        <f>4220.09807283198*(3/4)</f>
        <v>3165.073554623983</v>
      </c>
    </row>
    <row r="5132" spans="1:2" x14ac:dyDescent="0.3">
      <c r="A5132" s="2">
        <v>45871.75</v>
      </c>
      <c r="B5132">
        <f>4196.65302429279*(3/4)</f>
        <v>3147.4897682195906</v>
      </c>
    </row>
    <row r="5133" spans="1:2" x14ac:dyDescent="0.3">
      <c r="A5133" s="2">
        <v>45871.791666666657</v>
      </c>
      <c r="B5133">
        <f>4049.54089448532*(3/4)</f>
        <v>3037.1556708639928</v>
      </c>
    </row>
    <row r="5134" spans="1:2" x14ac:dyDescent="0.3">
      <c r="A5134" s="2">
        <v>45871.833333333343</v>
      </c>
      <c r="B5134">
        <f>3834.27634269775*(3/4)</f>
        <v>2875.7072570233154</v>
      </c>
    </row>
    <row r="5135" spans="1:2" x14ac:dyDescent="0.3">
      <c r="A5135" s="2">
        <v>45871.875</v>
      </c>
      <c r="B5135">
        <f>4426.27790486126*(3/4)</f>
        <v>3319.708428645944</v>
      </c>
    </row>
    <row r="5136" spans="1:2" x14ac:dyDescent="0.3">
      <c r="A5136" s="2">
        <v>45871.916666666657</v>
      </c>
      <c r="B5136">
        <f>4207.62866291993*(3/4)</f>
        <v>3155.7214971899502</v>
      </c>
    </row>
    <row r="5137" spans="1:2" x14ac:dyDescent="0.3">
      <c r="A5137" s="2">
        <v>45871.958333333343</v>
      </c>
      <c r="B5137">
        <f>4082.16577191545*(3/4)</f>
        <v>3061.6243289365862</v>
      </c>
    </row>
    <row r="5138" spans="1:2" x14ac:dyDescent="0.3">
      <c r="A5138" s="2">
        <v>45872</v>
      </c>
      <c r="B5138">
        <f>4395.33668933875*(3/4)</f>
        <v>3296.5025170040608</v>
      </c>
    </row>
    <row r="5139" spans="1:2" x14ac:dyDescent="0.3">
      <c r="A5139" s="2">
        <v>45872.041666666657</v>
      </c>
      <c r="B5139">
        <f>4153.83044790821*(3/4)</f>
        <v>3115.372835931154</v>
      </c>
    </row>
    <row r="5140" spans="1:2" x14ac:dyDescent="0.3">
      <c r="A5140" s="2">
        <v>45872.083333333343</v>
      </c>
      <c r="B5140">
        <f>4251.58865157148*(3/4)</f>
        <v>3188.6914886786126</v>
      </c>
    </row>
    <row r="5141" spans="1:2" x14ac:dyDescent="0.3">
      <c r="A5141" s="2">
        <v>45872.125</v>
      </c>
      <c r="B5141">
        <f>4136.87519074801*(3/4)</f>
        <v>3102.6563930610068</v>
      </c>
    </row>
    <row r="5142" spans="1:2" x14ac:dyDescent="0.3">
      <c r="A5142" s="2">
        <v>45872.166666666657</v>
      </c>
      <c r="B5142">
        <f>4159.65867358627*(3/4)</f>
        <v>3119.7440051897033</v>
      </c>
    </row>
    <row r="5143" spans="1:2" x14ac:dyDescent="0.3">
      <c r="A5143" s="2">
        <v>45872.208333333343</v>
      </c>
      <c r="B5143">
        <f>4351.24282521062*(3/4)</f>
        <v>3263.4321189079678</v>
      </c>
    </row>
    <row r="5144" spans="1:2" x14ac:dyDescent="0.3">
      <c r="A5144" s="2">
        <v>45872.25</v>
      </c>
      <c r="B5144">
        <f>4215.10949367673*(3/4)</f>
        <v>3161.3321202575462</v>
      </c>
    </row>
    <row r="5145" spans="1:2" x14ac:dyDescent="0.3">
      <c r="A5145" s="2">
        <v>45872.291666666657</v>
      </c>
      <c r="B5145">
        <f>4160.52269281587*(3/4)</f>
        <v>3120.3920196118988</v>
      </c>
    </row>
    <row r="5146" spans="1:2" x14ac:dyDescent="0.3">
      <c r="A5146" s="2">
        <v>45872.333333333343</v>
      </c>
      <c r="B5146">
        <f>3224.55852225161*(3/4)</f>
        <v>2418.4188916887083</v>
      </c>
    </row>
    <row r="5147" spans="1:2" x14ac:dyDescent="0.3">
      <c r="A5147" s="2">
        <v>45872.375</v>
      </c>
      <c r="B5147">
        <f>3282.55872269805*(3/4)</f>
        <v>2461.9190420235336</v>
      </c>
    </row>
    <row r="5148" spans="1:2" x14ac:dyDescent="0.3">
      <c r="A5148" s="2">
        <v>45872.416666666657</v>
      </c>
      <c r="B5148">
        <f>3346.62622890586*(3/4)</f>
        <v>2509.9696716793965</v>
      </c>
    </row>
    <row r="5149" spans="1:2" x14ac:dyDescent="0.3">
      <c r="A5149" s="2">
        <v>45872.458333333343</v>
      </c>
      <c r="B5149">
        <f>3148.01275688553*(3/4)</f>
        <v>2361.0095676641481</v>
      </c>
    </row>
    <row r="5150" spans="1:2" x14ac:dyDescent="0.3">
      <c r="A5150" s="2">
        <v>45872.5</v>
      </c>
      <c r="B5150">
        <f>3561.41838513826*(3/4)</f>
        <v>2671.0637888536921</v>
      </c>
    </row>
    <row r="5151" spans="1:2" x14ac:dyDescent="0.3">
      <c r="A5151" s="2">
        <v>45872.541666666657</v>
      </c>
      <c r="B5151">
        <f>3237.50270209445*(3/4)</f>
        <v>2428.1270265708363</v>
      </c>
    </row>
    <row r="5152" spans="1:2" x14ac:dyDescent="0.3">
      <c r="A5152" s="2">
        <v>45872.583333333343</v>
      </c>
      <c r="B5152">
        <f>3357.07944886853*(3/4)</f>
        <v>2517.8095866513945</v>
      </c>
    </row>
    <row r="5153" spans="1:2" x14ac:dyDescent="0.3">
      <c r="A5153" s="2">
        <v>45872.625</v>
      </c>
      <c r="B5153">
        <f>3297.65053462149*(3/4)</f>
        <v>2473.2379009661172</v>
      </c>
    </row>
    <row r="5154" spans="1:2" x14ac:dyDescent="0.3">
      <c r="A5154" s="2">
        <v>45872.666666666657</v>
      </c>
      <c r="B5154">
        <f>3604.07668962882*(3/4)</f>
        <v>2703.0575172216159</v>
      </c>
    </row>
    <row r="5155" spans="1:2" x14ac:dyDescent="0.3">
      <c r="A5155" s="2">
        <v>45872.708333333343</v>
      </c>
      <c r="B5155">
        <f>4346.0991829946*(3/4)</f>
        <v>3259.574387245947</v>
      </c>
    </row>
    <row r="5156" spans="1:2" x14ac:dyDescent="0.3">
      <c r="A5156" s="2">
        <v>45872.75</v>
      </c>
      <c r="B5156">
        <f>4169.06919811923*(3/4)</f>
        <v>3126.8018985894205</v>
      </c>
    </row>
    <row r="5157" spans="1:2" x14ac:dyDescent="0.3">
      <c r="A5157" s="2">
        <v>45872.791666666657</v>
      </c>
      <c r="B5157">
        <f>4390.83874370535*(3/4)</f>
        <v>3293.1290577790114</v>
      </c>
    </row>
    <row r="5158" spans="1:2" x14ac:dyDescent="0.3">
      <c r="A5158" s="2">
        <v>45872.833333333343</v>
      </c>
      <c r="B5158">
        <f>4516.16514593531*(3/4)</f>
        <v>3387.1238594514816</v>
      </c>
    </row>
    <row r="5159" spans="1:2" x14ac:dyDescent="0.3">
      <c r="A5159" s="2">
        <v>45872.875</v>
      </c>
      <c r="B5159">
        <f>4355.71602908545*(3/4)</f>
        <v>3266.7870218140843</v>
      </c>
    </row>
    <row r="5160" spans="1:2" x14ac:dyDescent="0.3">
      <c r="A5160" s="2">
        <v>45872.916666666657</v>
      </c>
      <c r="B5160">
        <f>3851.44018206732*(3/4)</f>
        <v>2888.5801365504913</v>
      </c>
    </row>
    <row r="5161" spans="1:2" x14ac:dyDescent="0.3">
      <c r="A5161" s="2">
        <v>45872.958333333343</v>
      </c>
      <c r="B5161">
        <f>4012.02094816062*(3/4)</f>
        <v>3009.0157111204635</v>
      </c>
    </row>
    <row r="5162" spans="1:2" x14ac:dyDescent="0.3">
      <c r="A5162" s="2">
        <v>45873</v>
      </c>
      <c r="B5162">
        <f>4278.79664043026*(3/4)</f>
        <v>3209.0974803226918</v>
      </c>
    </row>
    <row r="5163" spans="1:2" x14ac:dyDescent="0.3">
      <c r="A5163" s="2">
        <v>45873.041666666657</v>
      </c>
      <c r="B5163">
        <f>4273.82505160728*(3/4)</f>
        <v>3205.3687887054593</v>
      </c>
    </row>
    <row r="5164" spans="1:2" x14ac:dyDescent="0.3">
      <c r="A5164" s="2">
        <v>45873.083333333343</v>
      </c>
      <c r="B5164">
        <f>4272.89311185537*(3/4)</f>
        <v>3204.6698338915248</v>
      </c>
    </row>
    <row r="5165" spans="1:2" x14ac:dyDescent="0.3">
      <c r="A5165" s="2">
        <v>45873.125</v>
      </c>
      <c r="B5165">
        <f>4021.489304169*(3/4)</f>
        <v>3016.1169781267472</v>
      </c>
    </row>
    <row r="5166" spans="1:2" x14ac:dyDescent="0.3">
      <c r="A5166" s="2">
        <v>45873.166666666657</v>
      </c>
      <c r="B5166">
        <f>4228.93683595815*(3/4)</f>
        <v>3171.7026269686157</v>
      </c>
    </row>
    <row r="5167" spans="1:2" x14ac:dyDescent="0.3">
      <c r="A5167" s="2">
        <v>45873.208333333343</v>
      </c>
      <c r="B5167">
        <f>4038.26955033066*(3/4)</f>
        <v>3028.7021627479971</v>
      </c>
    </row>
    <row r="5168" spans="1:2" x14ac:dyDescent="0.3">
      <c r="A5168" s="2">
        <v>45873.25</v>
      </c>
      <c r="B5168">
        <f>3906.8724888686*(3/4)</f>
        <v>2930.1543666514522</v>
      </c>
    </row>
    <row r="5169" spans="1:2" x14ac:dyDescent="0.3">
      <c r="A5169" s="2">
        <v>45873.291666666657</v>
      </c>
      <c r="B5169">
        <f>4187.75334256844*(3/4)</f>
        <v>3140.8150069263329</v>
      </c>
    </row>
    <row r="5170" spans="1:2" x14ac:dyDescent="0.3">
      <c r="A5170" s="2">
        <v>45873.333333333343</v>
      </c>
      <c r="B5170">
        <f>4402.04190046434*(3/4)</f>
        <v>3301.531425348252</v>
      </c>
    </row>
    <row r="5171" spans="1:2" x14ac:dyDescent="0.3">
      <c r="A5171" s="2">
        <v>45873.375</v>
      </c>
      <c r="B5171">
        <f>4019.51732269594*(3/4)</f>
        <v>3014.6379920219551</v>
      </c>
    </row>
    <row r="5172" spans="1:2" x14ac:dyDescent="0.3">
      <c r="A5172" s="2">
        <v>45873.416666666657</v>
      </c>
      <c r="B5172">
        <f>4456.66683309087*(3/4)</f>
        <v>3342.5001248181497</v>
      </c>
    </row>
    <row r="5173" spans="1:2" x14ac:dyDescent="0.3">
      <c r="A5173" s="2">
        <v>45873.458333333343</v>
      </c>
      <c r="B5173">
        <f>4334.85176239586*(3/4)</f>
        <v>3251.1388217968947</v>
      </c>
    </row>
    <row r="5174" spans="1:2" x14ac:dyDescent="0.3">
      <c r="A5174" s="2">
        <v>45873.5</v>
      </c>
      <c r="B5174">
        <f>4754.03678170958*(3/4)</f>
        <v>3565.5275862821886</v>
      </c>
    </row>
    <row r="5175" spans="1:2" x14ac:dyDescent="0.3">
      <c r="A5175" s="2">
        <v>45873.541666666657</v>
      </c>
      <c r="B5175">
        <f>4169.60759056988*(3/4)</f>
        <v>3127.2056929274067</v>
      </c>
    </row>
    <row r="5176" spans="1:2" x14ac:dyDescent="0.3">
      <c r="A5176" s="2">
        <v>45873.583333333343</v>
      </c>
      <c r="B5176">
        <f>3937.4472545065*(3/4)</f>
        <v>2953.0854408798764</v>
      </c>
    </row>
    <row r="5177" spans="1:2" x14ac:dyDescent="0.3">
      <c r="A5177" s="2">
        <v>45873.625</v>
      </c>
      <c r="B5177">
        <f>3989.16048240938*(3/4)</f>
        <v>2991.8703618070367</v>
      </c>
    </row>
    <row r="5178" spans="1:2" x14ac:dyDescent="0.3">
      <c r="A5178" s="2">
        <v>45873.666666666657</v>
      </c>
      <c r="B5178">
        <f>4092.14643113957*(3/4)</f>
        <v>3069.1098233546745</v>
      </c>
    </row>
    <row r="5179" spans="1:2" x14ac:dyDescent="0.3">
      <c r="A5179" s="2">
        <v>45873.708333333343</v>
      </c>
      <c r="B5179">
        <f>4430.51142782594*(3/4)</f>
        <v>3322.8835708694578</v>
      </c>
    </row>
    <row r="5180" spans="1:2" x14ac:dyDescent="0.3">
      <c r="A5180" s="2">
        <v>45873.75</v>
      </c>
      <c r="B5180">
        <f>4327.11900830005*(3/4)</f>
        <v>3245.3392562250374</v>
      </c>
    </row>
    <row r="5181" spans="1:2" x14ac:dyDescent="0.3">
      <c r="A5181" s="2">
        <v>45873.791666666657</v>
      </c>
      <c r="B5181">
        <f>4228.70138686501*(3/4)</f>
        <v>3171.5260401487594</v>
      </c>
    </row>
    <row r="5182" spans="1:2" x14ac:dyDescent="0.3">
      <c r="A5182" s="2">
        <v>45873.833333333343</v>
      </c>
      <c r="B5182">
        <f>4584.29787029385*(3/4)</f>
        <v>3438.2234027203849</v>
      </c>
    </row>
    <row r="5183" spans="1:2" x14ac:dyDescent="0.3">
      <c r="A5183" s="2">
        <v>45873.875</v>
      </c>
      <c r="B5183">
        <f>4431.28600471527*(3/4)</f>
        <v>3323.464503536452</v>
      </c>
    </row>
    <row r="5184" spans="1:2" x14ac:dyDescent="0.3">
      <c r="A5184" s="2">
        <v>45873.916666666657</v>
      </c>
      <c r="B5184">
        <f>4143.33433803204*(3/4)</f>
        <v>3107.5007535240302</v>
      </c>
    </row>
    <row r="5185" spans="1:2" x14ac:dyDescent="0.3">
      <c r="A5185" s="2">
        <v>45873.958333333343</v>
      </c>
      <c r="B5185">
        <f>4019.14983420249*(3/4)</f>
        <v>3014.3623756518691</v>
      </c>
    </row>
    <row r="5186" spans="1:2" x14ac:dyDescent="0.3">
      <c r="A5186" s="2">
        <v>45874</v>
      </c>
      <c r="B5186">
        <f>4385.83423057779*(3/4)</f>
        <v>3289.3756729333422</v>
      </c>
    </row>
    <row r="5187" spans="1:2" x14ac:dyDescent="0.3">
      <c r="A5187" s="2">
        <v>45874.041666666657</v>
      </c>
      <c r="B5187">
        <f>4303.76053076778*(3/4)</f>
        <v>3227.8203980758362</v>
      </c>
    </row>
    <row r="5188" spans="1:2" x14ac:dyDescent="0.3">
      <c r="A5188" s="2">
        <v>45874.083333333343</v>
      </c>
      <c r="B5188">
        <f>4077.12480533167*(3/4)</f>
        <v>3057.8436039987555</v>
      </c>
    </row>
    <row r="5189" spans="1:2" x14ac:dyDescent="0.3">
      <c r="A5189" s="2">
        <v>45874.125</v>
      </c>
      <c r="B5189">
        <f>4066.74190972904*(3/4)</f>
        <v>3050.056432296783</v>
      </c>
    </row>
    <row r="5190" spans="1:2" x14ac:dyDescent="0.3">
      <c r="A5190" s="2">
        <v>45874.166666666657</v>
      </c>
      <c r="B5190">
        <f>3749.1458661038*(3/4)</f>
        <v>2811.8593995778488</v>
      </c>
    </row>
    <row r="5191" spans="1:2" x14ac:dyDescent="0.3">
      <c r="A5191" s="2">
        <v>45874.208333333343</v>
      </c>
      <c r="B5191">
        <f>3945.04784874935*(3/4)</f>
        <v>2958.7858865620133</v>
      </c>
    </row>
    <row r="5192" spans="1:2" x14ac:dyDescent="0.3">
      <c r="A5192" s="2">
        <v>45874.25</v>
      </c>
      <c r="B5192">
        <f>4175.14364580088*(3/4)</f>
        <v>3131.3577343506636</v>
      </c>
    </row>
    <row r="5193" spans="1:2" x14ac:dyDescent="0.3">
      <c r="A5193" s="2">
        <v>45874.291666666657</v>
      </c>
      <c r="B5193">
        <f>4437.80746872908*(3/4)</f>
        <v>3328.355601546813</v>
      </c>
    </row>
    <row r="5194" spans="1:2" x14ac:dyDescent="0.3">
      <c r="A5194" s="2">
        <v>45874.333333333343</v>
      </c>
      <c r="B5194">
        <f>4612.10922496559*(3/4)</f>
        <v>3459.0819187241959</v>
      </c>
    </row>
    <row r="5195" spans="1:2" x14ac:dyDescent="0.3">
      <c r="A5195" s="2">
        <v>45874.375</v>
      </c>
      <c r="B5195">
        <f>4077.59198291385*(3/4)</f>
        <v>3058.1939871853897</v>
      </c>
    </row>
    <row r="5196" spans="1:2" x14ac:dyDescent="0.3">
      <c r="A5196" s="2">
        <v>45874.416666666657</v>
      </c>
      <c r="B5196">
        <f>4112.37607982799*(3/4)</f>
        <v>3084.2820598709905</v>
      </c>
    </row>
    <row r="5197" spans="1:2" x14ac:dyDescent="0.3">
      <c r="A5197" s="2">
        <v>45874.458333333343</v>
      </c>
      <c r="B5197">
        <f>4277.30143265018*(3/4)</f>
        <v>3207.9760744876312</v>
      </c>
    </row>
    <row r="5198" spans="1:2" x14ac:dyDescent="0.3">
      <c r="A5198" s="2">
        <v>45874.5</v>
      </c>
      <c r="B5198">
        <f>4121.59495191897*(3/4)</f>
        <v>3091.1962139392281</v>
      </c>
    </row>
    <row r="5199" spans="1:2" x14ac:dyDescent="0.3">
      <c r="A5199" s="2">
        <v>45874.541666666657</v>
      </c>
      <c r="B5199">
        <f>4014.40659605257*(3/4)</f>
        <v>3010.8049470394262</v>
      </c>
    </row>
    <row r="5200" spans="1:2" x14ac:dyDescent="0.3">
      <c r="A5200" s="2">
        <v>45874.583333333343</v>
      </c>
      <c r="B5200">
        <f>3863.6874836545*(3/4)</f>
        <v>2897.7656127408786</v>
      </c>
    </row>
    <row r="5201" spans="1:2" x14ac:dyDescent="0.3">
      <c r="A5201" s="2">
        <v>45874.625</v>
      </c>
      <c r="B5201">
        <f>4429.71446503324*(3/4)</f>
        <v>3322.2858487749295</v>
      </c>
    </row>
    <row r="5202" spans="1:2" x14ac:dyDescent="0.3">
      <c r="A5202" s="2">
        <v>45874.666666666657</v>
      </c>
      <c r="B5202">
        <f>4212.25107506165*(3/4)</f>
        <v>3159.1883062962384</v>
      </c>
    </row>
    <row r="5203" spans="1:2" x14ac:dyDescent="0.3">
      <c r="A5203" s="2">
        <v>45874.708333333343</v>
      </c>
      <c r="B5203">
        <f>4269.03662469601*(3/4)</f>
        <v>3201.7774685220083</v>
      </c>
    </row>
    <row r="5204" spans="1:2" x14ac:dyDescent="0.3">
      <c r="A5204" s="2">
        <v>45874.75</v>
      </c>
      <c r="B5204">
        <f>4225.76843276149*(3/4)</f>
        <v>3169.3263245711141</v>
      </c>
    </row>
    <row r="5205" spans="1:2" x14ac:dyDescent="0.3">
      <c r="A5205" s="2">
        <v>45874.791666666657</v>
      </c>
      <c r="B5205">
        <f>4018.67433552978*(3/4)</f>
        <v>3014.005751647338</v>
      </c>
    </row>
    <row r="5206" spans="1:2" x14ac:dyDescent="0.3">
      <c r="A5206" s="2">
        <v>45874.833333333343</v>
      </c>
      <c r="B5206">
        <f>4671.43401515424*(3/4)</f>
        <v>3503.5755113656801</v>
      </c>
    </row>
    <row r="5207" spans="1:2" x14ac:dyDescent="0.3">
      <c r="A5207" s="2">
        <v>45874.875</v>
      </c>
      <c r="B5207">
        <f>4142.57619173595*(3/4)</f>
        <v>3106.9321438019588</v>
      </c>
    </row>
    <row r="5208" spans="1:2" x14ac:dyDescent="0.3">
      <c r="A5208" s="2">
        <v>45874.916666666657</v>
      </c>
      <c r="B5208">
        <f>4026.12282778685*(3/4)</f>
        <v>3019.592120840136</v>
      </c>
    </row>
    <row r="5209" spans="1:2" x14ac:dyDescent="0.3">
      <c r="A5209" s="2">
        <v>45874.958333333343</v>
      </c>
      <c r="B5209">
        <f>3806.9577707701*(3/4)</f>
        <v>2855.2183280775744</v>
      </c>
    </row>
    <row r="5210" spans="1:2" x14ac:dyDescent="0.3">
      <c r="A5210" s="2">
        <v>45875</v>
      </c>
      <c r="B5210">
        <f>4293.88622931665*(3/4)</f>
        <v>3220.4146719874884</v>
      </c>
    </row>
    <row r="5211" spans="1:2" x14ac:dyDescent="0.3">
      <c r="A5211" s="2">
        <v>45875.041666666657</v>
      </c>
      <c r="B5211">
        <f>4200.06147788619*(3/4)</f>
        <v>3150.04610841464</v>
      </c>
    </row>
    <row r="5212" spans="1:2" x14ac:dyDescent="0.3">
      <c r="A5212" s="2">
        <v>45875.083333333343</v>
      </c>
      <c r="B5212">
        <f>4171.61914485828*(3/4)</f>
        <v>3128.7143586437137</v>
      </c>
    </row>
    <row r="5213" spans="1:2" x14ac:dyDescent="0.3">
      <c r="A5213" s="2">
        <v>45875.125</v>
      </c>
      <c r="B5213">
        <f>4231.05127959934*(3/4)</f>
        <v>3173.2884596995063</v>
      </c>
    </row>
    <row r="5214" spans="1:2" x14ac:dyDescent="0.3">
      <c r="A5214" s="2">
        <v>45875.166666666657</v>
      </c>
      <c r="B5214">
        <f>4343.76525063532*(3/4)</f>
        <v>3257.8239379764877</v>
      </c>
    </row>
    <row r="5215" spans="1:2" x14ac:dyDescent="0.3">
      <c r="A5215" s="2">
        <v>45875.208333333343</v>
      </c>
      <c r="B5215">
        <f>3966.28178469116*(3/4)</f>
        <v>2974.7113385183684</v>
      </c>
    </row>
    <row r="5216" spans="1:2" x14ac:dyDescent="0.3">
      <c r="A5216" s="2">
        <v>45875.25</v>
      </c>
      <c r="B5216">
        <f>4036.64135248929*(3/4)</f>
        <v>3027.4810143669706</v>
      </c>
    </row>
    <row r="5217" spans="1:2" x14ac:dyDescent="0.3">
      <c r="A5217" s="2">
        <v>45875.291666666657</v>
      </c>
      <c r="B5217">
        <f>4355.59679909942*(3/4)</f>
        <v>3266.6975993245674</v>
      </c>
    </row>
    <row r="5218" spans="1:2" x14ac:dyDescent="0.3">
      <c r="A5218" s="2">
        <v>45875.333333333343</v>
      </c>
      <c r="B5218">
        <f>4198.24672285965*(3/4)</f>
        <v>3148.6850421447393</v>
      </c>
    </row>
    <row r="5219" spans="1:2" x14ac:dyDescent="0.3">
      <c r="A5219" s="2">
        <v>45875.375</v>
      </c>
      <c r="B5219">
        <f>4027.8904227498*(3/4)</f>
        <v>3020.9178170623522</v>
      </c>
    </row>
    <row r="5220" spans="1:2" x14ac:dyDescent="0.3">
      <c r="A5220" s="2">
        <v>45875.416666666657</v>
      </c>
      <c r="B5220">
        <f>3992.60581230409*(3/4)</f>
        <v>2994.4543592280675</v>
      </c>
    </row>
    <row r="5221" spans="1:2" x14ac:dyDescent="0.3">
      <c r="A5221" s="2">
        <v>45875.458333333343</v>
      </c>
      <c r="B5221">
        <f>4177.84341147476*(3/4)</f>
        <v>3133.382558606073</v>
      </c>
    </row>
    <row r="5222" spans="1:2" x14ac:dyDescent="0.3">
      <c r="A5222" s="2">
        <v>45875.5</v>
      </c>
      <c r="B5222">
        <f>4150.29421484356*(3/4)</f>
        <v>3112.7206611326719</v>
      </c>
    </row>
    <row r="5223" spans="1:2" x14ac:dyDescent="0.3">
      <c r="A5223" s="2">
        <v>45875.541666666657</v>
      </c>
      <c r="B5223">
        <f>4004.90910846115*(3/4)</f>
        <v>3003.6818313458616</v>
      </c>
    </row>
    <row r="5224" spans="1:2" x14ac:dyDescent="0.3">
      <c r="A5224" s="2">
        <v>45875.583333333343</v>
      </c>
      <c r="B5224">
        <f>3811.8330023855*(3/4)</f>
        <v>2858.8747517891252</v>
      </c>
    </row>
    <row r="5225" spans="1:2" x14ac:dyDescent="0.3">
      <c r="A5225" s="2">
        <v>45875.625</v>
      </c>
      <c r="B5225">
        <f>4246.61806008218*(3/4)</f>
        <v>3184.9635450616324</v>
      </c>
    </row>
    <row r="5226" spans="1:2" x14ac:dyDescent="0.3">
      <c r="A5226" s="2">
        <v>45875.666666666657</v>
      </c>
      <c r="B5226">
        <f>4362.61528076373*(3/4)</f>
        <v>3271.9614605727957</v>
      </c>
    </row>
    <row r="5227" spans="1:2" x14ac:dyDescent="0.3">
      <c r="A5227" s="2">
        <v>45875.708333333343</v>
      </c>
      <c r="B5227">
        <f>4261.89443078358*(3/4)</f>
        <v>3196.4208230876857</v>
      </c>
    </row>
    <row r="5228" spans="1:2" x14ac:dyDescent="0.3">
      <c r="A5228" s="2">
        <v>45875.75</v>
      </c>
      <c r="B5228">
        <f>4182.06981622781*(3/4)</f>
        <v>3136.5523621708558</v>
      </c>
    </row>
    <row r="5229" spans="1:2" x14ac:dyDescent="0.3">
      <c r="A5229" s="2">
        <v>45875.791666666657</v>
      </c>
      <c r="B5229">
        <f>4157.72645411414*(3/4)</f>
        <v>3118.294840585605</v>
      </c>
    </row>
    <row r="5230" spans="1:2" x14ac:dyDescent="0.3">
      <c r="A5230" s="2">
        <v>45875.833333333343</v>
      </c>
      <c r="B5230">
        <f>4028.02047899212*(3/4)</f>
        <v>3021.0153592440938</v>
      </c>
    </row>
    <row r="5231" spans="1:2" x14ac:dyDescent="0.3">
      <c r="A5231" s="2">
        <v>45875.875</v>
      </c>
      <c r="B5231">
        <f>4320.5546608232*(3/4)</f>
        <v>3240.4159956173985</v>
      </c>
    </row>
    <row r="5232" spans="1:2" x14ac:dyDescent="0.3">
      <c r="A5232" s="2">
        <v>45875.916666666657</v>
      </c>
      <c r="B5232">
        <f>3923.30070517211*(3/4)</f>
        <v>2942.4755288790793</v>
      </c>
    </row>
    <row r="5233" spans="1:2" x14ac:dyDescent="0.3">
      <c r="A5233" s="2">
        <v>45875.958333333343</v>
      </c>
      <c r="B5233">
        <f>3917.56529997909*(3/4)</f>
        <v>2938.173974984315</v>
      </c>
    </row>
    <row r="5234" spans="1:2" x14ac:dyDescent="0.3">
      <c r="A5234" s="2">
        <v>45876</v>
      </c>
      <c r="B5234">
        <f>4137.44929351943*(3/4)</f>
        <v>3103.0869701395704</v>
      </c>
    </row>
    <row r="5235" spans="1:2" x14ac:dyDescent="0.3">
      <c r="A5235" s="2">
        <v>45876.041666666657</v>
      </c>
      <c r="B5235">
        <f>3857.70570908579*(3/4)</f>
        <v>2893.2792818143453</v>
      </c>
    </row>
    <row r="5236" spans="1:2" x14ac:dyDescent="0.3">
      <c r="A5236" s="2">
        <v>45876.083333333343</v>
      </c>
      <c r="B5236">
        <f>4064.08318686174*(3/4)</f>
        <v>3048.062390146305</v>
      </c>
    </row>
    <row r="5237" spans="1:2" x14ac:dyDescent="0.3">
      <c r="A5237" s="2">
        <v>45876.125</v>
      </c>
      <c r="B5237">
        <f>3737.19674237337*(3/4)</f>
        <v>2802.8975567800262</v>
      </c>
    </row>
    <row r="5238" spans="1:2" x14ac:dyDescent="0.3">
      <c r="A5238" s="2">
        <v>45876.166666666657</v>
      </c>
      <c r="B5238">
        <f>4030.03319899516*(3/4)</f>
        <v>3022.5248992463712</v>
      </c>
    </row>
    <row r="5239" spans="1:2" x14ac:dyDescent="0.3">
      <c r="A5239" s="2">
        <v>45876.208333333343</v>
      </c>
      <c r="B5239">
        <f>4227.26074105246*(3/4)</f>
        <v>3170.4455557893434</v>
      </c>
    </row>
    <row r="5240" spans="1:2" x14ac:dyDescent="0.3">
      <c r="A5240" s="2">
        <v>45876.25</v>
      </c>
      <c r="B5240">
        <f>4153.7276779031*(3/4)</f>
        <v>3115.2957584273227</v>
      </c>
    </row>
    <row r="5241" spans="1:2" x14ac:dyDescent="0.3">
      <c r="A5241" s="2">
        <v>45876.291666666657</v>
      </c>
      <c r="B5241">
        <f>4218.73210996892*(3/4)</f>
        <v>3164.0490824766925</v>
      </c>
    </row>
    <row r="5242" spans="1:2" x14ac:dyDescent="0.3">
      <c r="A5242" s="2">
        <v>45876.333333333343</v>
      </c>
      <c r="B5242">
        <f>4167.91787465413*(3/4)</f>
        <v>3125.9384059905969</v>
      </c>
    </row>
    <row r="5243" spans="1:2" x14ac:dyDescent="0.3">
      <c r="A5243" s="2">
        <v>45876.375</v>
      </c>
      <c r="B5243">
        <f>4405.69375100298*(3/4)</f>
        <v>3304.2703132522324</v>
      </c>
    </row>
    <row r="5244" spans="1:2" x14ac:dyDescent="0.3">
      <c r="A5244" s="2">
        <v>45876.416666666657</v>
      </c>
      <c r="B5244">
        <f>4109.5200865182*(3/4)</f>
        <v>3082.1400648886524</v>
      </c>
    </row>
    <row r="5245" spans="1:2" x14ac:dyDescent="0.3">
      <c r="A5245" s="2">
        <v>45876.458333333343</v>
      </c>
      <c r="B5245">
        <f>4252.21112595344*(3/4)</f>
        <v>3189.1583444650823</v>
      </c>
    </row>
    <row r="5246" spans="1:2" x14ac:dyDescent="0.3">
      <c r="A5246" s="2">
        <v>45876.5</v>
      </c>
      <c r="B5246">
        <f>4637.97661965003*(3/4)</f>
        <v>3478.4824647375226</v>
      </c>
    </row>
    <row r="5247" spans="1:2" x14ac:dyDescent="0.3">
      <c r="A5247" s="2">
        <v>45876.541666666657</v>
      </c>
      <c r="B5247">
        <f>4457.77543187762*(3/4)</f>
        <v>3343.3315739082154</v>
      </c>
    </row>
    <row r="5248" spans="1:2" x14ac:dyDescent="0.3">
      <c r="A5248" s="2">
        <v>45876.583333333343</v>
      </c>
      <c r="B5248">
        <f>3750.27535050278*(3/4)</f>
        <v>2812.7065128770864</v>
      </c>
    </row>
    <row r="5249" spans="1:2" x14ac:dyDescent="0.3">
      <c r="A5249" s="2">
        <v>45876.625</v>
      </c>
      <c r="B5249">
        <f>4201.10598411608*(3/4)</f>
        <v>3150.8294880870581</v>
      </c>
    </row>
    <row r="5250" spans="1:2" x14ac:dyDescent="0.3">
      <c r="A5250" s="2">
        <v>45876.666666666657</v>
      </c>
      <c r="B5250">
        <f>4523.79447649318*(3/4)</f>
        <v>3392.8458573698822</v>
      </c>
    </row>
    <row r="5251" spans="1:2" x14ac:dyDescent="0.3">
      <c r="A5251" s="2">
        <v>45876.708333333343</v>
      </c>
      <c r="B5251">
        <f>4026.48107470644*(3/4)</f>
        <v>3019.8608060298316</v>
      </c>
    </row>
    <row r="5252" spans="1:2" x14ac:dyDescent="0.3">
      <c r="A5252" s="2">
        <v>45876.75</v>
      </c>
      <c r="B5252">
        <f>4138.41825201272*(3/4)</f>
        <v>3103.8136890095393</v>
      </c>
    </row>
    <row r="5253" spans="1:2" x14ac:dyDescent="0.3">
      <c r="A5253" s="2">
        <v>45876.791666666657</v>
      </c>
      <c r="B5253">
        <f>4225.00703890828*(3/4)</f>
        <v>3168.7552791812104</v>
      </c>
    </row>
    <row r="5254" spans="1:2" x14ac:dyDescent="0.3">
      <c r="A5254" s="2">
        <v>45876.833333333343</v>
      </c>
      <c r="B5254">
        <f>4241.66370198694*(3/4)</f>
        <v>3181.2477764902042</v>
      </c>
    </row>
    <row r="5255" spans="1:2" x14ac:dyDescent="0.3">
      <c r="A5255" s="2">
        <v>45876.875</v>
      </c>
      <c r="B5255">
        <f>4215.62970908753*(3/4)</f>
        <v>3161.7222818156438</v>
      </c>
    </row>
    <row r="5256" spans="1:2" x14ac:dyDescent="0.3">
      <c r="A5256" s="2">
        <v>45876.916666666657</v>
      </c>
      <c r="B5256">
        <f>4136.11741178173*(3/4)</f>
        <v>3102.088058836297</v>
      </c>
    </row>
    <row r="5257" spans="1:2" x14ac:dyDescent="0.3">
      <c r="A5257" s="2">
        <v>45876.958333333343</v>
      </c>
      <c r="B5257">
        <f>4197.96218659504*(3/4)</f>
        <v>3148.4716399462832</v>
      </c>
    </row>
    <row r="5258" spans="1:2" x14ac:dyDescent="0.3">
      <c r="A5258" s="2">
        <v>45877</v>
      </c>
      <c r="B5258">
        <f>4377.654652415*(3/4)</f>
        <v>3283.2409893112481</v>
      </c>
    </row>
    <row r="5259" spans="1:2" x14ac:dyDescent="0.3">
      <c r="A5259" s="2">
        <v>45877.041666666657</v>
      </c>
      <c r="B5259">
        <f>4315.89441622164*(3/4)</f>
        <v>3236.9208121662314</v>
      </c>
    </row>
    <row r="5260" spans="1:2" x14ac:dyDescent="0.3">
      <c r="A5260" s="2">
        <v>45877.083333333343</v>
      </c>
      <c r="B5260">
        <f>4174.54152704615*(3/4)</f>
        <v>3130.9061452846158</v>
      </c>
    </row>
    <row r="5261" spans="1:2" x14ac:dyDescent="0.3">
      <c r="A5261" s="2">
        <v>45877.125</v>
      </c>
      <c r="B5261">
        <f>4245.11965205512*(3/4)</f>
        <v>3183.8397390413388</v>
      </c>
    </row>
    <row r="5262" spans="1:2" x14ac:dyDescent="0.3">
      <c r="A5262" s="2">
        <v>45877.166666666657</v>
      </c>
      <c r="B5262">
        <f>4069.33393525447*(3/4)</f>
        <v>3052.0004514408542</v>
      </c>
    </row>
    <row r="5263" spans="1:2" x14ac:dyDescent="0.3">
      <c r="A5263" s="2">
        <v>45877.208333333343</v>
      </c>
      <c r="B5263">
        <f>4195.02527619743*(3/4)</f>
        <v>3146.2689571480696</v>
      </c>
    </row>
    <row r="5264" spans="1:2" x14ac:dyDescent="0.3">
      <c r="A5264" s="2">
        <v>45877.25</v>
      </c>
      <c r="B5264">
        <f>3691.99433485317*(3/4)</f>
        <v>2768.9957511398752</v>
      </c>
    </row>
    <row r="5265" spans="1:2" x14ac:dyDescent="0.3">
      <c r="A5265" s="2">
        <v>45877.291666666657</v>
      </c>
      <c r="B5265">
        <f>4074.06633134278*(3/4)</f>
        <v>3055.5497485070828</v>
      </c>
    </row>
    <row r="5266" spans="1:2" x14ac:dyDescent="0.3">
      <c r="A5266" s="2">
        <v>45877.333333333343</v>
      </c>
      <c r="B5266">
        <f>4388.48609488034*(3/4)</f>
        <v>3291.3645711602539</v>
      </c>
    </row>
    <row r="5267" spans="1:2" x14ac:dyDescent="0.3">
      <c r="A5267" s="2">
        <v>45877.375</v>
      </c>
      <c r="B5267">
        <f>4233.23520801437*(3/4)</f>
        <v>3174.9264060107798</v>
      </c>
    </row>
    <row r="5268" spans="1:2" x14ac:dyDescent="0.3">
      <c r="A5268" s="2">
        <v>45877.416666666657</v>
      </c>
      <c r="B5268">
        <f>4394.81126277131*(3/4)</f>
        <v>3296.108447078479</v>
      </c>
    </row>
    <row r="5269" spans="1:2" x14ac:dyDescent="0.3">
      <c r="A5269" s="2">
        <v>45877.458333333343</v>
      </c>
      <c r="B5269">
        <f>4056.56709731555*(3/4)</f>
        <v>3042.4253229866604</v>
      </c>
    </row>
    <row r="5270" spans="1:2" x14ac:dyDescent="0.3">
      <c r="A5270" s="2">
        <v>45877.5</v>
      </c>
      <c r="B5270">
        <f>4419.50378395033*(3/4)</f>
        <v>3314.6278379627447</v>
      </c>
    </row>
    <row r="5271" spans="1:2" x14ac:dyDescent="0.3">
      <c r="A5271" s="2">
        <v>45877.541666666657</v>
      </c>
      <c r="B5271">
        <f>4178.79825259189*(3/4)</f>
        <v>3134.0986894439206</v>
      </c>
    </row>
    <row r="5272" spans="1:2" x14ac:dyDescent="0.3">
      <c r="A5272" s="2">
        <v>45877.583333333343</v>
      </c>
      <c r="B5272">
        <f>3770.2875469373*(3/4)</f>
        <v>2827.7156602029722</v>
      </c>
    </row>
    <row r="5273" spans="1:2" x14ac:dyDescent="0.3">
      <c r="A5273" s="2">
        <v>45877.625</v>
      </c>
      <c r="B5273">
        <f>4533.95783032369*(3/4)</f>
        <v>3400.4683727427655</v>
      </c>
    </row>
    <row r="5274" spans="1:2" x14ac:dyDescent="0.3">
      <c r="A5274" s="2">
        <v>45877.666666666657</v>
      </c>
      <c r="B5274">
        <f>3797.60132368734*(3/4)</f>
        <v>2848.2009927655049</v>
      </c>
    </row>
    <row r="5275" spans="1:2" x14ac:dyDescent="0.3">
      <c r="A5275" s="2">
        <v>45877.708333333343</v>
      </c>
      <c r="B5275">
        <f>4090.36990409442*(3/4)</f>
        <v>3067.7774280708181</v>
      </c>
    </row>
    <row r="5276" spans="1:2" x14ac:dyDescent="0.3">
      <c r="A5276" s="2">
        <v>45877.75</v>
      </c>
      <c r="B5276">
        <f>4242.95825230889*(3/4)</f>
        <v>3182.2186892316713</v>
      </c>
    </row>
    <row r="5277" spans="1:2" x14ac:dyDescent="0.3">
      <c r="A5277" s="2">
        <v>45877.791666666657</v>
      </c>
      <c r="B5277">
        <f>4192.47877627451*(3/4)</f>
        <v>3144.3590822058832</v>
      </c>
    </row>
    <row r="5278" spans="1:2" x14ac:dyDescent="0.3">
      <c r="A5278" s="2">
        <v>45877.833333333343</v>
      </c>
      <c r="B5278">
        <f>4269.5554185808*(3/4)</f>
        <v>3202.1665639355988</v>
      </c>
    </row>
    <row r="5279" spans="1:2" x14ac:dyDescent="0.3">
      <c r="A5279" s="2">
        <v>45877.875</v>
      </c>
      <c r="B5279">
        <f>4018.29296989209*(3/4)</f>
        <v>3013.7197274190689</v>
      </c>
    </row>
    <row r="5280" spans="1:2" x14ac:dyDescent="0.3">
      <c r="A5280" s="2">
        <v>45877.916666666657</v>
      </c>
      <c r="B5280">
        <f>4053.43653563305*(3/4)</f>
        <v>3040.0774017247845</v>
      </c>
    </row>
    <row r="5281" spans="1:2" x14ac:dyDescent="0.3">
      <c r="A5281" s="2">
        <v>45877.958333333343</v>
      </c>
      <c r="B5281">
        <f>3888.50328609421*(3/4)</f>
        <v>2916.3774645706608</v>
      </c>
    </row>
    <row r="5282" spans="1:2" x14ac:dyDescent="0.3">
      <c r="A5282" s="2">
        <v>45878</v>
      </c>
      <c r="B5282">
        <f>4213.99168435703*(3/4)</f>
        <v>3160.4937632677697</v>
      </c>
    </row>
    <row r="5283" spans="1:2" x14ac:dyDescent="0.3">
      <c r="A5283" s="2">
        <v>45878.041666666657</v>
      </c>
      <c r="B5283">
        <f>4121.99154839633*(3/4)</f>
        <v>3091.493661297246</v>
      </c>
    </row>
    <row r="5284" spans="1:2" x14ac:dyDescent="0.3">
      <c r="A5284" s="2">
        <v>45878.083333333343</v>
      </c>
      <c r="B5284">
        <f>4258.84972116669*(3/4)</f>
        <v>3194.1372908750163</v>
      </c>
    </row>
    <row r="5285" spans="1:2" x14ac:dyDescent="0.3">
      <c r="A5285" s="2">
        <v>45878.125</v>
      </c>
      <c r="B5285">
        <f>4074.14396955133*(3/4)</f>
        <v>3055.6079771634977</v>
      </c>
    </row>
    <row r="5286" spans="1:2" x14ac:dyDescent="0.3">
      <c r="A5286" s="2">
        <v>45878.166666666657</v>
      </c>
      <c r="B5286">
        <f>4354.06174938776*(3/4)</f>
        <v>3265.5463120408222</v>
      </c>
    </row>
    <row r="5287" spans="1:2" x14ac:dyDescent="0.3">
      <c r="A5287" s="2">
        <v>45878.208333333343</v>
      </c>
      <c r="B5287">
        <f>4300.46352380005*(3/4)</f>
        <v>3225.3476428500398</v>
      </c>
    </row>
    <row r="5288" spans="1:2" x14ac:dyDescent="0.3">
      <c r="A5288" s="2">
        <v>45878.25</v>
      </c>
      <c r="B5288">
        <f>3885.15348564128*(3/4)</f>
        <v>2913.86511423096</v>
      </c>
    </row>
    <row r="5289" spans="1:2" x14ac:dyDescent="0.3">
      <c r="A5289" s="2">
        <v>45878.291666666657</v>
      </c>
      <c r="B5289">
        <f>4434.69614323373*(3/4)</f>
        <v>3326.022107425295</v>
      </c>
    </row>
    <row r="5290" spans="1:2" x14ac:dyDescent="0.3">
      <c r="A5290" s="2">
        <v>45878.333333333343</v>
      </c>
      <c r="B5290">
        <f>4307.51178093625*(3/4)</f>
        <v>3230.6338357021905</v>
      </c>
    </row>
    <row r="5291" spans="1:2" x14ac:dyDescent="0.3">
      <c r="A5291" s="2">
        <v>45878.375</v>
      </c>
      <c r="B5291">
        <f>4197.50425730728*(3/4)</f>
        <v>3148.1281929804618</v>
      </c>
    </row>
    <row r="5292" spans="1:2" x14ac:dyDescent="0.3">
      <c r="A5292" s="2">
        <v>45878.416666666657</v>
      </c>
      <c r="B5292">
        <f>4367.0310838133*(3/4)</f>
        <v>3275.2733128599748</v>
      </c>
    </row>
    <row r="5293" spans="1:2" x14ac:dyDescent="0.3">
      <c r="A5293" s="2">
        <v>45878.458333333343</v>
      </c>
      <c r="B5293">
        <f>4459.32038456677*(3/4)</f>
        <v>3344.4902884250814</v>
      </c>
    </row>
    <row r="5294" spans="1:2" x14ac:dyDescent="0.3">
      <c r="A5294" s="2">
        <v>45878.5</v>
      </c>
      <c r="B5294">
        <f>4672.99611385844*(3/4)</f>
        <v>3504.7470853938316</v>
      </c>
    </row>
    <row r="5295" spans="1:2" x14ac:dyDescent="0.3">
      <c r="A5295" s="2">
        <v>45878.541666666657</v>
      </c>
      <c r="B5295">
        <f>4257.59631996681*(3/4)</f>
        <v>3193.1972399751066</v>
      </c>
    </row>
    <row r="5296" spans="1:2" x14ac:dyDescent="0.3">
      <c r="A5296" s="2">
        <v>45878.583333333343</v>
      </c>
      <c r="B5296">
        <f>3892.58520056396*(3/4)</f>
        <v>2919.4389004229729</v>
      </c>
    </row>
    <row r="5297" spans="1:2" x14ac:dyDescent="0.3">
      <c r="A5297" s="2">
        <v>45878.625</v>
      </c>
      <c r="B5297">
        <f>3975.4539849613*(3/4)</f>
        <v>2981.5904887209781</v>
      </c>
    </row>
    <row r="5298" spans="1:2" x14ac:dyDescent="0.3">
      <c r="A5298" s="2">
        <v>45878.666666666657</v>
      </c>
      <c r="B5298">
        <f>4025.75111632068*(3/4)</f>
        <v>3019.3133372405132</v>
      </c>
    </row>
    <row r="5299" spans="1:2" x14ac:dyDescent="0.3">
      <c r="A5299" s="2">
        <v>45878.708333333343</v>
      </c>
      <c r="B5299">
        <f>4158.99700593868*(3/4)</f>
        <v>3119.247754454007</v>
      </c>
    </row>
    <row r="5300" spans="1:2" x14ac:dyDescent="0.3">
      <c r="A5300" s="2">
        <v>45878.75</v>
      </c>
      <c r="B5300">
        <f>4450.54857940863*(3/4)</f>
        <v>3337.9114345564722</v>
      </c>
    </row>
    <row r="5301" spans="1:2" x14ac:dyDescent="0.3">
      <c r="A5301" s="2">
        <v>45878.791666666657</v>
      </c>
      <c r="B5301">
        <f>4279.70748128723*(3/4)</f>
        <v>3209.7806109654243</v>
      </c>
    </row>
    <row r="5302" spans="1:2" x14ac:dyDescent="0.3">
      <c r="A5302" s="2">
        <v>45878.833333333343</v>
      </c>
      <c r="B5302">
        <f>4509.30069910284*(3/4)</f>
        <v>3381.9755243271325</v>
      </c>
    </row>
    <row r="5303" spans="1:2" x14ac:dyDescent="0.3">
      <c r="A5303" s="2">
        <v>45878.875</v>
      </c>
      <c r="B5303">
        <f>4469.57775681296*(3/4)</f>
        <v>3352.1833176097225</v>
      </c>
    </row>
    <row r="5304" spans="1:2" x14ac:dyDescent="0.3">
      <c r="A5304" s="2">
        <v>45878.916666666657</v>
      </c>
      <c r="B5304">
        <f>3904.75763061907*(3/4)</f>
        <v>2928.5682229642994</v>
      </c>
    </row>
    <row r="5305" spans="1:2" x14ac:dyDescent="0.3">
      <c r="A5305" s="2">
        <v>45878.958333333343</v>
      </c>
      <c r="B5305">
        <f>4271.61911860115*(3/4)</f>
        <v>3203.7143389508633</v>
      </c>
    </row>
    <row r="5306" spans="1:2" x14ac:dyDescent="0.3">
      <c r="A5306" s="2">
        <v>45879</v>
      </c>
      <c r="B5306">
        <f>4183.51225969383*(3/4)</f>
        <v>3137.6341947703704</v>
      </c>
    </row>
    <row r="5307" spans="1:2" x14ac:dyDescent="0.3">
      <c r="A5307" s="2">
        <v>45879.041666666657</v>
      </c>
      <c r="B5307">
        <f>4126.14620797497*(3/4)</f>
        <v>3094.6096559812295</v>
      </c>
    </row>
    <row r="5308" spans="1:2" x14ac:dyDescent="0.3">
      <c r="A5308" s="2">
        <v>45879.083333333343</v>
      </c>
      <c r="B5308">
        <f>4160.74456066688*(3/4)</f>
        <v>3120.5584205001624</v>
      </c>
    </row>
    <row r="5309" spans="1:2" x14ac:dyDescent="0.3">
      <c r="A5309" s="2">
        <v>45879.125</v>
      </c>
      <c r="B5309">
        <f>3833.56511805081*(3/4)</f>
        <v>2875.1738385381059</v>
      </c>
    </row>
    <row r="5310" spans="1:2" x14ac:dyDescent="0.3">
      <c r="A5310" s="2">
        <v>45879.166666666657</v>
      </c>
      <c r="B5310">
        <f>4375.63712607836*(3/4)</f>
        <v>3281.7278445587735</v>
      </c>
    </row>
    <row r="5311" spans="1:2" x14ac:dyDescent="0.3">
      <c r="A5311" s="2">
        <v>45879.208333333343</v>
      </c>
      <c r="B5311">
        <f>4157.39134201639*(3/4)</f>
        <v>3118.0435065122938</v>
      </c>
    </row>
    <row r="5312" spans="1:2" x14ac:dyDescent="0.3">
      <c r="A5312" s="2">
        <v>45879.25</v>
      </c>
      <c r="B5312">
        <f>3937.756720621*(3/4)</f>
        <v>2953.3175404657495</v>
      </c>
    </row>
    <row r="5313" spans="1:2" x14ac:dyDescent="0.3">
      <c r="A5313" s="2">
        <v>45879.291666666657</v>
      </c>
      <c r="B5313">
        <f>4101.35638922711*(3/4)</f>
        <v>3076.0172919203301</v>
      </c>
    </row>
    <row r="5314" spans="1:2" x14ac:dyDescent="0.3">
      <c r="A5314" s="2">
        <v>45879.333333333343</v>
      </c>
      <c r="B5314">
        <f>3803.19430467469*(3/4)</f>
        <v>2852.3957285060196</v>
      </c>
    </row>
    <row r="5315" spans="1:2" x14ac:dyDescent="0.3">
      <c r="A5315" s="2">
        <v>45879.375</v>
      </c>
      <c r="B5315">
        <f>3418.97317062675*(3/4)</f>
        <v>2564.229877970065</v>
      </c>
    </row>
    <row r="5316" spans="1:2" x14ac:dyDescent="0.3">
      <c r="A5316" s="2">
        <v>45879.416666666657</v>
      </c>
      <c r="B5316">
        <f>3299.68903938899*(3/4)</f>
        <v>2474.7667795417442</v>
      </c>
    </row>
    <row r="5317" spans="1:2" x14ac:dyDescent="0.3">
      <c r="A5317" s="2">
        <v>45879.458333333343</v>
      </c>
      <c r="B5317">
        <f>3679.23483698751*(3/4)</f>
        <v>2759.4261277406317</v>
      </c>
    </row>
    <row r="5318" spans="1:2" x14ac:dyDescent="0.3">
      <c r="A5318" s="2">
        <v>45879.5</v>
      </c>
      <c r="B5318">
        <f>3664.09400741646*(3/4)</f>
        <v>2748.070505562348</v>
      </c>
    </row>
    <row r="5319" spans="1:2" x14ac:dyDescent="0.3">
      <c r="A5319" s="2">
        <v>45879.541666666657</v>
      </c>
      <c r="B5319">
        <f>3652.9409025353*(3/4)</f>
        <v>2739.7056769014721</v>
      </c>
    </row>
    <row r="5320" spans="1:2" x14ac:dyDescent="0.3">
      <c r="A5320" s="2">
        <v>45879.583333333343</v>
      </c>
      <c r="B5320">
        <f>2971.85884818562*(3/4)</f>
        <v>2228.8941361392158</v>
      </c>
    </row>
    <row r="5321" spans="1:2" x14ac:dyDescent="0.3">
      <c r="A5321" s="2">
        <v>45879.625</v>
      </c>
      <c r="B5321">
        <f>3290.56367615403*(3/4)</f>
        <v>2467.9227571155257</v>
      </c>
    </row>
    <row r="5322" spans="1:2" x14ac:dyDescent="0.3">
      <c r="A5322" s="2">
        <v>45879.666666666657</v>
      </c>
      <c r="B5322">
        <f>3409.45049092346*(3/4)</f>
        <v>2557.0878681925979</v>
      </c>
    </row>
    <row r="5323" spans="1:2" x14ac:dyDescent="0.3">
      <c r="A5323" s="2">
        <v>45879.708333333343</v>
      </c>
      <c r="B5323">
        <f>4184.29449796446*(3/4)</f>
        <v>3138.2208734733485</v>
      </c>
    </row>
    <row r="5324" spans="1:2" x14ac:dyDescent="0.3">
      <c r="A5324" s="2">
        <v>45879.75</v>
      </c>
      <c r="B5324">
        <f>4196.64604657963*(3/4)</f>
        <v>3147.4845349347206</v>
      </c>
    </row>
    <row r="5325" spans="1:2" x14ac:dyDescent="0.3">
      <c r="A5325" s="2">
        <v>45879.791666666657</v>
      </c>
      <c r="B5325">
        <f>4304.36655695657*(3/4)</f>
        <v>3228.2749177174296</v>
      </c>
    </row>
    <row r="5326" spans="1:2" x14ac:dyDescent="0.3">
      <c r="A5326" s="2">
        <v>45879.833333333343</v>
      </c>
      <c r="B5326">
        <f>4351.90255862043*(3/4)</f>
        <v>3263.9269189653251</v>
      </c>
    </row>
    <row r="5327" spans="1:2" x14ac:dyDescent="0.3">
      <c r="A5327" s="2">
        <v>45879.875</v>
      </c>
      <c r="B5327">
        <f>4332.56069862961*(3/4)</f>
        <v>3249.420523972205</v>
      </c>
    </row>
    <row r="5328" spans="1:2" x14ac:dyDescent="0.3">
      <c r="A5328" s="2">
        <v>45879.916666666657</v>
      </c>
      <c r="B5328">
        <f>3790.40424685283*(3/4)</f>
        <v>2842.8031851396217</v>
      </c>
    </row>
    <row r="5329" spans="1:2" x14ac:dyDescent="0.3">
      <c r="A5329" s="2">
        <v>45879.958333333343</v>
      </c>
      <c r="B5329">
        <f>3997.02532947038*(3/4)</f>
        <v>2997.7689971027839</v>
      </c>
    </row>
    <row r="5330" spans="1:2" x14ac:dyDescent="0.3">
      <c r="A5330" s="2">
        <v>45880</v>
      </c>
      <c r="B5330">
        <f>4259.60234587947*(3/4)</f>
        <v>3194.7017594096014</v>
      </c>
    </row>
    <row r="5331" spans="1:2" x14ac:dyDescent="0.3">
      <c r="A5331" s="2">
        <v>45880.041666666657</v>
      </c>
      <c r="B5331">
        <f>4384.44152836776*(3/4)</f>
        <v>3288.3311462758211</v>
      </c>
    </row>
    <row r="5332" spans="1:2" x14ac:dyDescent="0.3">
      <c r="A5332" s="2">
        <v>45880.083333333343</v>
      </c>
      <c r="B5332">
        <f>3952.59564202987*(3/4)</f>
        <v>2964.4467315224024</v>
      </c>
    </row>
    <row r="5333" spans="1:2" x14ac:dyDescent="0.3">
      <c r="A5333" s="2">
        <v>45880.125</v>
      </c>
      <c r="B5333">
        <f>4029.54156624018*(3/4)</f>
        <v>3022.1561746801358</v>
      </c>
    </row>
    <row r="5334" spans="1:2" x14ac:dyDescent="0.3">
      <c r="A5334" s="2">
        <v>45880.166666666657</v>
      </c>
      <c r="B5334">
        <f>4163.32634377492*(3/4)</f>
        <v>3122.4947578311867</v>
      </c>
    </row>
    <row r="5335" spans="1:2" x14ac:dyDescent="0.3">
      <c r="A5335" s="2">
        <v>45880.208333333343</v>
      </c>
      <c r="B5335">
        <f>4059.51238103839*(3/4)</f>
        <v>3044.6342857787931</v>
      </c>
    </row>
    <row r="5336" spans="1:2" x14ac:dyDescent="0.3">
      <c r="A5336" s="2">
        <v>45880.25</v>
      </c>
      <c r="B5336">
        <f>4141.58661867554*(3/4)</f>
        <v>3106.1899640066572</v>
      </c>
    </row>
    <row r="5337" spans="1:2" x14ac:dyDescent="0.3">
      <c r="A5337" s="2">
        <v>45880.291666666657</v>
      </c>
      <c r="B5337">
        <f>4066.52918799119*(3/4)</f>
        <v>3049.8968909933888</v>
      </c>
    </row>
    <row r="5338" spans="1:2" x14ac:dyDescent="0.3">
      <c r="A5338" s="2">
        <v>45880.333333333343</v>
      </c>
      <c r="B5338">
        <f>4598.9164306316*(3/4)</f>
        <v>3449.1873229737021</v>
      </c>
    </row>
    <row r="5339" spans="1:2" x14ac:dyDescent="0.3">
      <c r="A5339" s="2">
        <v>45880.375</v>
      </c>
      <c r="B5339">
        <f>4279.84241827958*(3/4)</f>
        <v>3209.881813709685</v>
      </c>
    </row>
    <row r="5340" spans="1:2" x14ac:dyDescent="0.3">
      <c r="A5340" s="2">
        <v>45880.416666666657</v>
      </c>
      <c r="B5340">
        <f>4305.35522725317*(3/4)</f>
        <v>3229.0164204398798</v>
      </c>
    </row>
    <row r="5341" spans="1:2" x14ac:dyDescent="0.3">
      <c r="A5341" s="2">
        <v>45880.458333333343</v>
      </c>
      <c r="B5341">
        <f>4421.36342706753*(3/4)</f>
        <v>3316.0225703006499</v>
      </c>
    </row>
    <row r="5342" spans="1:2" x14ac:dyDescent="0.3">
      <c r="A5342" s="2">
        <v>45880.5</v>
      </c>
      <c r="B5342">
        <f>4413.39063953165*(3/4)</f>
        <v>3310.042979648736</v>
      </c>
    </row>
    <row r="5343" spans="1:2" x14ac:dyDescent="0.3">
      <c r="A5343" s="2">
        <v>45880.541666666657</v>
      </c>
      <c r="B5343">
        <f>4392.37938365392*(3/4)</f>
        <v>3294.2845377404374</v>
      </c>
    </row>
    <row r="5344" spans="1:2" x14ac:dyDescent="0.3">
      <c r="A5344" s="2">
        <v>45880.583333333343</v>
      </c>
      <c r="B5344">
        <f>3958.70486296633*(3/4)</f>
        <v>2969.0286472247508</v>
      </c>
    </row>
    <row r="5345" spans="1:2" x14ac:dyDescent="0.3">
      <c r="A5345" s="2">
        <v>45880.625</v>
      </c>
      <c r="B5345">
        <f>4421.2104100389*(3/4)</f>
        <v>3315.9078075291782</v>
      </c>
    </row>
    <row r="5346" spans="1:2" x14ac:dyDescent="0.3">
      <c r="A5346" s="2">
        <v>45880.666666666657</v>
      </c>
      <c r="B5346">
        <f>4312.17751617821*(3/4)</f>
        <v>3234.1331371336601</v>
      </c>
    </row>
    <row r="5347" spans="1:2" x14ac:dyDescent="0.3">
      <c r="A5347" s="2">
        <v>45880.708333333343</v>
      </c>
      <c r="B5347">
        <f>4022.97487846454*(3/4)</f>
        <v>3017.2311588484072</v>
      </c>
    </row>
    <row r="5348" spans="1:2" x14ac:dyDescent="0.3">
      <c r="A5348" s="2">
        <v>45880.75</v>
      </c>
      <c r="B5348">
        <f>4001.46705859471*(3/4)</f>
        <v>3001.1002939460295</v>
      </c>
    </row>
    <row r="5349" spans="1:2" x14ac:dyDescent="0.3">
      <c r="A5349" s="2">
        <v>45880.791666666657</v>
      </c>
      <c r="B5349">
        <f>4219.83509561544*(3/4)</f>
        <v>3164.8763217115779</v>
      </c>
    </row>
    <row r="5350" spans="1:2" x14ac:dyDescent="0.3">
      <c r="A5350" s="2">
        <v>45880.833333333343</v>
      </c>
      <c r="B5350">
        <f>4535.09462520245*(3/4)</f>
        <v>3401.3209689018345</v>
      </c>
    </row>
    <row r="5351" spans="1:2" x14ac:dyDescent="0.3">
      <c r="A5351" s="2">
        <v>45880.875</v>
      </c>
      <c r="B5351">
        <f>4263.01965922114*(3/4)</f>
        <v>3197.2647444158561</v>
      </c>
    </row>
    <row r="5352" spans="1:2" x14ac:dyDescent="0.3">
      <c r="A5352" s="2">
        <v>45880.916666666657</v>
      </c>
      <c r="B5352">
        <f>3771.98669606704*(3/4)</f>
        <v>2828.9900220502791</v>
      </c>
    </row>
    <row r="5353" spans="1:2" x14ac:dyDescent="0.3">
      <c r="A5353" s="2">
        <v>45880.958333333343</v>
      </c>
      <c r="B5353">
        <f>4410.07739758369*(3/4)</f>
        <v>3307.558048187766</v>
      </c>
    </row>
    <row r="5354" spans="1:2" x14ac:dyDescent="0.3">
      <c r="A5354" s="2">
        <v>45881</v>
      </c>
      <c r="B5354">
        <f>4083.43529467391*(3/4)</f>
        <v>3062.5764710054295</v>
      </c>
    </row>
    <row r="5355" spans="1:2" x14ac:dyDescent="0.3">
      <c r="A5355" s="2">
        <v>45881.041666666657</v>
      </c>
      <c r="B5355">
        <f>4069.7646145157*(3/4)</f>
        <v>3052.3234608867738</v>
      </c>
    </row>
    <row r="5356" spans="1:2" x14ac:dyDescent="0.3">
      <c r="A5356" s="2">
        <v>45881.083333333343</v>
      </c>
      <c r="B5356">
        <f>4248.66293547694*(3/4)</f>
        <v>3186.4972016077027</v>
      </c>
    </row>
    <row r="5357" spans="1:2" x14ac:dyDescent="0.3">
      <c r="A5357" s="2">
        <v>45881.125</v>
      </c>
      <c r="B5357">
        <f>4149.65958489839*(3/4)</f>
        <v>3112.2446886737926</v>
      </c>
    </row>
    <row r="5358" spans="1:2" x14ac:dyDescent="0.3">
      <c r="A5358" s="2">
        <v>45881.166666666657</v>
      </c>
      <c r="B5358">
        <f>4008.04556997583*(3/4)</f>
        <v>3006.0341774818712</v>
      </c>
    </row>
    <row r="5359" spans="1:2" x14ac:dyDescent="0.3">
      <c r="A5359" s="2">
        <v>45881.208333333343</v>
      </c>
      <c r="B5359">
        <f>4082.61197741961*(3/4)</f>
        <v>3061.958983064711</v>
      </c>
    </row>
    <row r="5360" spans="1:2" x14ac:dyDescent="0.3">
      <c r="A5360" s="2">
        <v>45881.25</v>
      </c>
      <c r="B5360">
        <f>4195.60341016551*(3/4)</f>
        <v>3146.702557624134</v>
      </c>
    </row>
    <row r="5361" spans="1:2" x14ac:dyDescent="0.3">
      <c r="A5361" s="2">
        <v>45881.291666666657</v>
      </c>
      <c r="B5361">
        <f>4300.63992767444*(3/4)</f>
        <v>3225.4799457558292</v>
      </c>
    </row>
    <row r="5362" spans="1:2" x14ac:dyDescent="0.3">
      <c r="A5362" s="2">
        <v>45881.333333333343</v>
      </c>
      <c r="B5362">
        <f>4529.98231740874*(3/4)</f>
        <v>3397.4867380565561</v>
      </c>
    </row>
    <row r="5363" spans="1:2" x14ac:dyDescent="0.3">
      <c r="A5363" s="2">
        <v>45881.375</v>
      </c>
      <c r="B5363">
        <f>4052.73481345033*(3/4)</f>
        <v>3039.5511100877461</v>
      </c>
    </row>
    <row r="5364" spans="1:2" x14ac:dyDescent="0.3">
      <c r="A5364" s="2">
        <v>45881.416666666657</v>
      </c>
      <c r="B5364">
        <f>4290.11670184669*(3/4)</f>
        <v>3217.5875263850166</v>
      </c>
    </row>
    <row r="5365" spans="1:2" x14ac:dyDescent="0.3">
      <c r="A5365" s="2">
        <v>45881.458333333343</v>
      </c>
      <c r="B5365">
        <f>4403.40428256153*(3/4)</f>
        <v>3302.5532119211503</v>
      </c>
    </row>
    <row r="5366" spans="1:2" x14ac:dyDescent="0.3">
      <c r="A5366" s="2">
        <v>45881.5</v>
      </c>
      <c r="B5366">
        <f>4440.75552856246*(3/4)</f>
        <v>3330.566646421843</v>
      </c>
    </row>
    <row r="5367" spans="1:2" x14ac:dyDescent="0.3">
      <c r="A5367" s="2">
        <v>45881.541666666657</v>
      </c>
      <c r="B5367">
        <f>4289.36019336046*(3/4)</f>
        <v>3217.0201450203476</v>
      </c>
    </row>
    <row r="5368" spans="1:2" x14ac:dyDescent="0.3">
      <c r="A5368" s="2">
        <v>45881.583333333343</v>
      </c>
      <c r="B5368">
        <f>4017.7113056738*(3/4)</f>
        <v>3013.2834792553494</v>
      </c>
    </row>
    <row r="5369" spans="1:2" x14ac:dyDescent="0.3">
      <c r="A5369" s="2">
        <v>45881.625</v>
      </c>
      <c r="B5369">
        <f>4246.24913019009*(3/4)</f>
        <v>3184.6868476425643</v>
      </c>
    </row>
    <row r="5370" spans="1:2" x14ac:dyDescent="0.3">
      <c r="A5370" s="2">
        <v>45881.666666666657</v>
      </c>
      <c r="B5370">
        <f>4418.98808973415*(3/4)</f>
        <v>3314.2410673006138</v>
      </c>
    </row>
    <row r="5371" spans="1:2" x14ac:dyDescent="0.3">
      <c r="A5371" s="2">
        <v>45881.708333333343</v>
      </c>
      <c r="B5371">
        <f>3960.23097056922*(3/4)</f>
        <v>2970.1732279269113</v>
      </c>
    </row>
    <row r="5372" spans="1:2" x14ac:dyDescent="0.3">
      <c r="A5372" s="2">
        <v>45881.75</v>
      </c>
      <c r="B5372">
        <f>4056.30357037724*(3/4)</f>
        <v>3042.2276777829311</v>
      </c>
    </row>
    <row r="5373" spans="1:2" x14ac:dyDescent="0.3">
      <c r="A5373" s="2">
        <v>45881.791666666657</v>
      </c>
      <c r="B5373">
        <f>4194.09727152775*(3/4)</f>
        <v>3145.5729536458161</v>
      </c>
    </row>
    <row r="5374" spans="1:2" x14ac:dyDescent="0.3">
      <c r="A5374" s="2">
        <v>45881.833333333343</v>
      </c>
      <c r="B5374">
        <f>4372.08123014955*(3/4)</f>
        <v>3279.0609226121587</v>
      </c>
    </row>
    <row r="5375" spans="1:2" x14ac:dyDescent="0.3">
      <c r="A5375" s="2">
        <v>45881.875</v>
      </c>
      <c r="B5375">
        <f>4147.58623996634*(3/4)</f>
        <v>3110.6896799747547</v>
      </c>
    </row>
    <row r="5376" spans="1:2" x14ac:dyDescent="0.3">
      <c r="A5376" s="2">
        <v>45881.916666666657</v>
      </c>
      <c r="B5376">
        <f>3903.66246643218*(3/4)</f>
        <v>2927.7468498241387</v>
      </c>
    </row>
    <row r="5377" spans="1:2" x14ac:dyDescent="0.3">
      <c r="A5377" s="2">
        <v>45881.958333333343</v>
      </c>
      <c r="B5377">
        <f>3991.15978435062*(3/4)</f>
        <v>2993.3698382629664</v>
      </c>
    </row>
    <row r="5378" spans="1:2" x14ac:dyDescent="0.3">
      <c r="A5378" s="2">
        <v>45882</v>
      </c>
      <c r="B5378">
        <f>4213.60546716551*(3/4)</f>
        <v>3160.2041003741315</v>
      </c>
    </row>
    <row r="5379" spans="1:2" x14ac:dyDescent="0.3">
      <c r="A5379" s="2">
        <v>45882.041666666657</v>
      </c>
      <c r="B5379">
        <f>3993.33292582812*(3/4)</f>
        <v>2994.9996943710885</v>
      </c>
    </row>
    <row r="5380" spans="1:2" x14ac:dyDescent="0.3">
      <c r="A5380" s="2">
        <v>45882.083333333343</v>
      </c>
      <c r="B5380">
        <f>3914.03985192138*(3/4)</f>
        <v>2935.5298889410356</v>
      </c>
    </row>
    <row r="5381" spans="1:2" x14ac:dyDescent="0.3">
      <c r="A5381" s="2">
        <v>45882.125</v>
      </c>
      <c r="B5381">
        <f>4053.15504349442*(3/4)</f>
        <v>3039.8662826208151</v>
      </c>
    </row>
    <row r="5382" spans="1:2" x14ac:dyDescent="0.3">
      <c r="A5382" s="2">
        <v>45882.166666666657</v>
      </c>
      <c r="B5382">
        <f>4056.23205417802*(3/4)</f>
        <v>3042.1740406335157</v>
      </c>
    </row>
    <row r="5383" spans="1:2" x14ac:dyDescent="0.3">
      <c r="A5383" s="2">
        <v>45882.208333333343</v>
      </c>
      <c r="B5383">
        <f>4175.23689819699*(3/4)</f>
        <v>3131.4276736477395</v>
      </c>
    </row>
    <row r="5384" spans="1:2" x14ac:dyDescent="0.3">
      <c r="A5384" s="2">
        <v>45882.25</v>
      </c>
      <c r="B5384">
        <f>3754.22159609815*(3/4)</f>
        <v>2815.6661970736118</v>
      </c>
    </row>
    <row r="5385" spans="1:2" x14ac:dyDescent="0.3">
      <c r="A5385" s="2">
        <v>45882.291666666657</v>
      </c>
      <c r="B5385">
        <f>4296.20291820319*(3/4)</f>
        <v>3222.1521886523915</v>
      </c>
    </row>
    <row r="5386" spans="1:2" x14ac:dyDescent="0.3">
      <c r="A5386" s="2">
        <v>45882.333333333343</v>
      </c>
      <c r="B5386">
        <f>4557.222410864*(3/4)</f>
        <v>3417.916808148002</v>
      </c>
    </row>
    <row r="5387" spans="1:2" x14ac:dyDescent="0.3">
      <c r="A5387" s="2">
        <v>45882.375</v>
      </c>
      <c r="B5387">
        <f>4167.82218760786*(3/4)</f>
        <v>3125.8666407058927</v>
      </c>
    </row>
    <row r="5388" spans="1:2" x14ac:dyDescent="0.3">
      <c r="A5388" s="2">
        <v>45882.416666666657</v>
      </c>
      <c r="B5388">
        <f>4235.47449149353*(3/4)</f>
        <v>3176.6058686201454</v>
      </c>
    </row>
    <row r="5389" spans="1:2" x14ac:dyDescent="0.3">
      <c r="A5389" s="2">
        <v>45882.458333333343</v>
      </c>
      <c r="B5389">
        <f>4211.81436708421*(3/4)</f>
        <v>3158.8607753131555</v>
      </c>
    </row>
    <row r="5390" spans="1:2" x14ac:dyDescent="0.3">
      <c r="A5390" s="2">
        <v>45882.5</v>
      </c>
      <c r="B5390">
        <f>4405.83677720379*(3/4)</f>
        <v>3304.3775829028432</v>
      </c>
    </row>
    <row r="5391" spans="1:2" x14ac:dyDescent="0.3">
      <c r="A5391" s="2">
        <v>45882.541666666657</v>
      </c>
      <c r="B5391">
        <f>4389.56695729075*(3/4)</f>
        <v>3292.1752179680652</v>
      </c>
    </row>
    <row r="5392" spans="1:2" x14ac:dyDescent="0.3">
      <c r="A5392" s="2">
        <v>45882.583333333343</v>
      </c>
      <c r="B5392">
        <f>3939.45851833548*(3/4)</f>
        <v>2954.593888751609</v>
      </c>
    </row>
    <row r="5393" spans="1:2" x14ac:dyDescent="0.3">
      <c r="A5393" s="2">
        <v>45882.625</v>
      </c>
      <c r="B5393">
        <f>4530.88446049505*(3/4)</f>
        <v>3398.1633453712875</v>
      </c>
    </row>
    <row r="5394" spans="1:2" x14ac:dyDescent="0.3">
      <c r="A5394" s="2">
        <v>45882.666666666657</v>
      </c>
      <c r="B5394">
        <f>4150.96439945858*(3/4)</f>
        <v>3113.2232995939326</v>
      </c>
    </row>
    <row r="5395" spans="1:2" x14ac:dyDescent="0.3">
      <c r="A5395" s="2">
        <v>45882.708333333343</v>
      </c>
      <c r="B5395">
        <f>4262.96267941417*(3/4)</f>
        <v>3197.2220095606281</v>
      </c>
    </row>
    <row r="5396" spans="1:2" x14ac:dyDescent="0.3">
      <c r="A5396" s="2">
        <v>45882.75</v>
      </c>
      <c r="B5396">
        <f>4377.11629818942*(3/4)</f>
        <v>3282.8372236420664</v>
      </c>
    </row>
    <row r="5397" spans="1:2" x14ac:dyDescent="0.3">
      <c r="A5397" s="2">
        <v>45882.791666666657</v>
      </c>
      <c r="B5397">
        <f>4005.62098400643*(3/4)</f>
        <v>3004.2157380048202</v>
      </c>
    </row>
    <row r="5398" spans="1:2" x14ac:dyDescent="0.3">
      <c r="A5398" s="2">
        <v>45882.833333333343</v>
      </c>
      <c r="B5398">
        <f>4279.02544232376*(3/4)</f>
        <v>3209.2690817428202</v>
      </c>
    </row>
    <row r="5399" spans="1:2" x14ac:dyDescent="0.3">
      <c r="A5399" s="2">
        <v>45882.875</v>
      </c>
      <c r="B5399">
        <f>4229.32046401795*(3/4)</f>
        <v>3171.9903480134608</v>
      </c>
    </row>
    <row r="5400" spans="1:2" x14ac:dyDescent="0.3">
      <c r="A5400" s="2">
        <v>45882.916666666657</v>
      </c>
      <c r="B5400">
        <f>4042.55787969419*(3/4)</f>
        <v>3031.9184097706402</v>
      </c>
    </row>
    <row r="5401" spans="1:2" x14ac:dyDescent="0.3">
      <c r="A5401" s="2">
        <v>45882.958333333343</v>
      </c>
      <c r="B5401">
        <f>4269.015862742*(3/4)</f>
        <v>3201.7618970565031</v>
      </c>
    </row>
    <row r="5402" spans="1:2" x14ac:dyDescent="0.3">
      <c r="A5402" s="2">
        <v>45883</v>
      </c>
      <c r="B5402">
        <f>4311.6577575246*(3/4)</f>
        <v>3233.7433181434526</v>
      </c>
    </row>
    <row r="5403" spans="1:2" x14ac:dyDescent="0.3">
      <c r="A5403" s="2">
        <v>45883.041666666657</v>
      </c>
      <c r="B5403">
        <f>4039.64831970299*(3/4)</f>
        <v>3029.7362397772408</v>
      </c>
    </row>
    <row r="5404" spans="1:2" x14ac:dyDescent="0.3">
      <c r="A5404" s="2">
        <v>45883.083333333343</v>
      </c>
      <c r="B5404">
        <f>4095.90763988371*(3/4)</f>
        <v>3071.9307299127795</v>
      </c>
    </row>
    <row r="5405" spans="1:2" x14ac:dyDescent="0.3">
      <c r="A5405" s="2">
        <v>45883.125</v>
      </c>
      <c r="B5405">
        <f>3903.39201410727*(3/4)</f>
        <v>2927.544010580451</v>
      </c>
    </row>
    <row r="5406" spans="1:2" x14ac:dyDescent="0.3">
      <c r="A5406" s="2">
        <v>45883.166666666657</v>
      </c>
      <c r="B5406">
        <f>4114.70527567154*(3/4)</f>
        <v>3086.0289567536524</v>
      </c>
    </row>
    <row r="5407" spans="1:2" x14ac:dyDescent="0.3">
      <c r="A5407" s="2">
        <v>45883.208333333343</v>
      </c>
      <c r="B5407">
        <f>4226.7627237918*(3/4)</f>
        <v>3170.0720428438503</v>
      </c>
    </row>
    <row r="5408" spans="1:2" x14ac:dyDescent="0.3">
      <c r="A5408" s="2">
        <v>45883.25</v>
      </c>
      <c r="B5408">
        <f>4105.96281051151*(3/4)</f>
        <v>3079.4721078836296</v>
      </c>
    </row>
    <row r="5409" spans="1:2" x14ac:dyDescent="0.3">
      <c r="A5409" s="2">
        <v>45883.291666666657</v>
      </c>
      <c r="B5409">
        <f>4204.0375621621*(3/4)</f>
        <v>3153.028171621575</v>
      </c>
    </row>
    <row r="5410" spans="1:2" x14ac:dyDescent="0.3">
      <c r="A5410" s="2">
        <v>45883.333333333343</v>
      </c>
      <c r="B5410">
        <f>4468.7570566865*(3/4)</f>
        <v>3351.5677925148721</v>
      </c>
    </row>
    <row r="5411" spans="1:2" x14ac:dyDescent="0.3">
      <c r="A5411" s="2">
        <v>45883.375</v>
      </c>
      <c r="B5411">
        <f>4313.80376626564*(3/4)</f>
        <v>3235.3528246992282</v>
      </c>
    </row>
    <row r="5412" spans="1:2" x14ac:dyDescent="0.3">
      <c r="A5412" s="2">
        <v>45883.416666666657</v>
      </c>
      <c r="B5412">
        <f>4121.4775585687*(3/4)</f>
        <v>3091.1081689265266</v>
      </c>
    </row>
    <row r="5413" spans="1:2" x14ac:dyDescent="0.3">
      <c r="A5413" s="2">
        <v>45883.458333333343</v>
      </c>
      <c r="B5413">
        <f>4472.5541351268*(3/4)</f>
        <v>3354.4156013450965</v>
      </c>
    </row>
    <row r="5414" spans="1:2" x14ac:dyDescent="0.3">
      <c r="A5414" s="2">
        <v>45883.5</v>
      </c>
      <c r="B5414">
        <f>4182.06147731944*(3/4)</f>
        <v>3136.5461079895767</v>
      </c>
    </row>
    <row r="5415" spans="1:2" x14ac:dyDescent="0.3">
      <c r="A5415" s="2">
        <v>45883.541666666657</v>
      </c>
      <c r="B5415">
        <f>3995.98808510931*(3/4)</f>
        <v>2996.9910638319798</v>
      </c>
    </row>
    <row r="5416" spans="1:2" x14ac:dyDescent="0.3">
      <c r="A5416" s="2">
        <v>45883.583333333343</v>
      </c>
      <c r="B5416">
        <f>4035.94395227311*(3/4)</f>
        <v>3026.9579642048325</v>
      </c>
    </row>
    <row r="5417" spans="1:2" x14ac:dyDescent="0.3">
      <c r="A5417" s="2">
        <v>45883.625</v>
      </c>
      <c r="B5417">
        <f>4394.59957786877*(3/4)</f>
        <v>3295.9496834015745</v>
      </c>
    </row>
    <row r="5418" spans="1:2" x14ac:dyDescent="0.3">
      <c r="A5418" s="2">
        <v>45883.666666666657</v>
      </c>
      <c r="B5418">
        <f>4356.38593726867*(3/4)</f>
        <v>3267.289452951502</v>
      </c>
    </row>
    <row r="5419" spans="1:2" x14ac:dyDescent="0.3">
      <c r="A5419" s="2">
        <v>45883.708333333343</v>
      </c>
      <c r="B5419">
        <f>4299.17263060025*(3/4)</f>
        <v>3224.3794729501878</v>
      </c>
    </row>
    <row r="5420" spans="1:2" x14ac:dyDescent="0.3">
      <c r="A5420" s="2">
        <v>45883.75</v>
      </c>
      <c r="B5420">
        <f>4339.07685155037*(3/4)</f>
        <v>3254.3076386627758</v>
      </c>
    </row>
    <row r="5421" spans="1:2" x14ac:dyDescent="0.3">
      <c r="A5421" s="2">
        <v>45883.791666666657</v>
      </c>
      <c r="B5421">
        <f>4400.84428530893*(3/4)</f>
        <v>3300.6332139816982</v>
      </c>
    </row>
    <row r="5422" spans="1:2" x14ac:dyDescent="0.3">
      <c r="A5422" s="2">
        <v>45883.833333333343</v>
      </c>
      <c r="B5422">
        <f>4465.01508866842*(3/4)</f>
        <v>3348.7613165013167</v>
      </c>
    </row>
    <row r="5423" spans="1:2" x14ac:dyDescent="0.3">
      <c r="A5423" s="2">
        <v>45883.875</v>
      </c>
      <c r="B5423">
        <f>4304.0798360367*(3/4)</f>
        <v>3228.0598770275283</v>
      </c>
    </row>
    <row r="5424" spans="1:2" x14ac:dyDescent="0.3">
      <c r="A5424" s="2">
        <v>45883.916666666657</v>
      </c>
      <c r="B5424">
        <f>4060.17237674511*(3/4)</f>
        <v>3045.1292825588312</v>
      </c>
    </row>
    <row r="5425" spans="1:2" x14ac:dyDescent="0.3">
      <c r="A5425" s="2">
        <v>45883.958333333343</v>
      </c>
      <c r="B5425">
        <f>4250.05889661311*(3/4)</f>
        <v>3187.5441724598331</v>
      </c>
    </row>
    <row r="5426" spans="1:2" x14ac:dyDescent="0.3">
      <c r="A5426" s="2">
        <v>45884</v>
      </c>
      <c r="B5426">
        <f>4324.70358734044*(3/4)</f>
        <v>3243.5276905053329</v>
      </c>
    </row>
    <row r="5427" spans="1:2" x14ac:dyDescent="0.3">
      <c r="A5427" s="2">
        <v>45884.041666666657</v>
      </c>
      <c r="B5427">
        <f>3949.90774516594*(3/4)</f>
        <v>2962.4308088744551</v>
      </c>
    </row>
    <row r="5428" spans="1:2" x14ac:dyDescent="0.3">
      <c r="A5428" s="2">
        <v>45884.083333333343</v>
      </c>
      <c r="B5428">
        <f>4040.32003477541*(3/4)</f>
        <v>3030.2400260815566</v>
      </c>
    </row>
    <row r="5429" spans="1:2" x14ac:dyDescent="0.3">
      <c r="A5429" s="2">
        <v>45884.125</v>
      </c>
      <c r="B5429">
        <f>3929.72321524851*(3/4)</f>
        <v>2947.292411436385</v>
      </c>
    </row>
    <row r="5430" spans="1:2" x14ac:dyDescent="0.3">
      <c r="A5430" s="2">
        <v>45884.166666666657</v>
      </c>
      <c r="B5430">
        <f>4153.36745067099*(3/4)</f>
        <v>3115.0255880032437</v>
      </c>
    </row>
    <row r="5431" spans="1:2" x14ac:dyDescent="0.3">
      <c r="A5431" s="2">
        <v>45884.208333333343</v>
      </c>
      <c r="B5431">
        <f>3922.44036648973*(3/4)</f>
        <v>2941.8302748672977</v>
      </c>
    </row>
    <row r="5432" spans="1:2" x14ac:dyDescent="0.3">
      <c r="A5432" s="2">
        <v>45884.25</v>
      </c>
      <c r="B5432">
        <f>3782.39617765094*(3/4)</f>
        <v>2836.7971332382081</v>
      </c>
    </row>
    <row r="5433" spans="1:2" x14ac:dyDescent="0.3">
      <c r="A5433" s="2">
        <v>45884.291666666657</v>
      </c>
      <c r="B5433">
        <f>4294.32076417467*(3/4)</f>
        <v>3220.7405731310055</v>
      </c>
    </row>
    <row r="5434" spans="1:2" x14ac:dyDescent="0.3">
      <c r="A5434" s="2">
        <v>45884.333333333343</v>
      </c>
      <c r="B5434">
        <f>4408.27108617963*(3/4)</f>
        <v>3306.2033146347239</v>
      </c>
    </row>
    <row r="5435" spans="1:2" x14ac:dyDescent="0.3">
      <c r="A5435" s="2">
        <v>45884.375</v>
      </c>
      <c r="B5435">
        <f>4373.86558829096*(3/4)</f>
        <v>3280.3991912182205</v>
      </c>
    </row>
    <row r="5436" spans="1:2" x14ac:dyDescent="0.3">
      <c r="A5436" s="2">
        <v>45884.416666666657</v>
      </c>
      <c r="B5436">
        <f>4185.87863828712*(3/4)</f>
        <v>3139.4089787153416</v>
      </c>
    </row>
    <row r="5437" spans="1:2" x14ac:dyDescent="0.3">
      <c r="A5437" s="2">
        <v>45884.458333333343</v>
      </c>
      <c r="B5437">
        <f>4470.11723072249*(3/4)</f>
        <v>3352.5879230418659</v>
      </c>
    </row>
    <row r="5438" spans="1:2" x14ac:dyDescent="0.3">
      <c r="A5438" s="2">
        <v>45884.5</v>
      </c>
      <c r="B5438">
        <f>4222.91932896812*(3/4)</f>
        <v>3167.1894967260864</v>
      </c>
    </row>
    <row r="5439" spans="1:2" x14ac:dyDescent="0.3">
      <c r="A5439" s="2">
        <v>45884.541666666657</v>
      </c>
      <c r="B5439">
        <f>4361.75757231813*(3/4)</f>
        <v>3271.3181792385985</v>
      </c>
    </row>
    <row r="5440" spans="1:2" x14ac:dyDescent="0.3">
      <c r="A5440" s="2">
        <v>45884.583333333343</v>
      </c>
      <c r="B5440">
        <f>3954.93113495486*(3/4)</f>
        <v>2966.1983512161432</v>
      </c>
    </row>
    <row r="5441" spans="1:2" x14ac:dyDescent="0.3">
      <c r="A5441" s="2">
        <v>45884.625</v>
      </c>
      <c r="B5441">
        <f>4016.16289492684*(3/4)</f>
        <v>3012.122171195133</v>
      </c>
    </row>
    <row r="5442" spans="1:2" x14ac:dyDescent="0.3">
      <c r="A5442" s="2">
        <v>45884.666666666657</v>
      </c>
      <c r="B5442">
        <f>3989.78225717226*(3/4)</f>
        <v>2992.336692879192</v>
      </c>
    </row>
    <row r="5443" spans="1:2" x14ac:dyDescent="0.3">
      <c r="A5443" s="2">
        <v>45884.708333333343</v>
      </c>
      <c r="B5443">
        <f>4177.33915791427*(3/4)</f>
        <v>3133.0043684357006</v>
      </c>
    </row>
    <row r="5444" spans="1:2" x14ac:dyDescent="0.3">
      <c r="A5444" s="2">
        <v>45884.75</v>
      </c>
      <c r="B5444">
        <f>4353.31932425905*(3/4)</f>
        <v>3264.9894931942908</v>
      </c>
    </row>
    <row r="5445" spans="1:2" x14ac:dyDescent="0.3">
      <c r="A5445" s="2">
        <v>45884.791666666657</v>
      </c>
      <c r="B5445">
        <f>4277.99200626368*(3/4)</f>
        <v>3208.4940046977608</v>
      </c>
    </row>
    <row r="5446" spans="1:2" x14ac:dyDescent="0.3">
      <c r="A5446" s="2">
        <v>45884.833333333343</v>
      </c>
      <c r="B5446">
        <f>4227.73761776187*(3/4)</f>
        <v>3170.8032133213997</v>
      </c>
    </row>
    <row r="5447" spans="1:2" x14ac:dyDescent="0.3">
      <c r="A5447" s="2">
        <v>45884.875</v>
      </c>
      <c r="B5447">
        <f>4381.19456995711*(3/4)</f>
        <v>3285.8959274678346</v>
      </c>
    </row>
    <row r="5448" spans="1:2" x14ac:dyDescent="0.3">
      <c r="A5448" s="2">
        <v>45884.916666666657</v>
      </c>
      <c r="B5448">
        <f>3828.98740169002*(3/4)</f>
        <v>2871.740551267515</v>
      </c>
    </row>
    <row r="5449" spans="1:2" x14ac:dyDescent="0.3">
      <c r="A5449" s="2">
        <v>45884.958333333343</v>
      </c>
      <c r="B5449">
        <f>4063.5906403094*(3/4)</f>
        <v>3047.6929802320474</v>
      </c>
    </row>
    <row r="5450" spans="1:2" x14ac:dyDescent="0.3">
      <c r="A5450" s="2">
        <v>45885</v>
      </c>
      <c r="B5450">
        <f>4333.52179234593*(3/4)</f>
        <v>3250.1413442594512</v>
      </c>
    </row>
    <row r="5451" spans="1:2" x14ac:dyDescent="0.3">
      <c r="A5451" s="2">
        <v>45885.041666666657</v>
      </c>
      <c r="B5451">
        <f>4005.88795095459*(3/4)</f>
        <v>3004.4159632159399</v>
      </c>
    </row>
    <row r="5452" spans="1:2" x14ac:dyDescent="0.3">
      <c r="A5452" s="2">
        <v>45885.083333333343</v>
      </c>
      <c r="B5452">
        <f>4120.57428299715*(3/4)</f>
        <v>3090.4307122478622</v>
      </c>
    </row>
    <row r="5453" spans="1:2" x14ac:dyDescent="0.3">
      <c r="A5453" s="2">
        <v>45885.125</v>
      </c>
      <c r="B5453">
        <f>4180.04827078278*(3/4)</f>
        <v>3135.036203087081</v>
      </c>
    </row>
    <row r="5454" spans="1:2" x14ac:dyDescent="0.3">
      <c r="A5454" s="2">
        <v>45885.166666666657</v>
      </c>
      <c r="B5454">
        <f>4079.73219674952*(3/4)</f>
        <v>3059.7991475621402</v>
      </c>
    </row>
    <row r="5455" spans="1:2" x14ac:dyDescent="0.3">
      <c r="A5455" s="2">
        <v>45885.208333333343</v>
      </c>
      <c r="B5455">
        <f>4210.36949702536*(3/4)</f>
        <v>3157.7771227690237</v>
      </c>
    </row>
    <row r="5456" spans="1:2" x14ac:dyDescent="0.3">
      <c r="A5456" s="2">
        <v>45885.25</v>
      </c>
      <c r="B5456">
        <f>3929.84534197985*(3/4)</f>
        <v>2947.3840064848837</v>
      </c>
    </row>
    <row r="5457" spans="1:2" x14ac:dyDescent="0.3">
      <c r="A5457" s="2">
        <v>45885.291666666657</v>
      </c>
      <c r="B5457">
        <f>4397.58411551234*(3/4)</f>
        <v>3298.1880866342517</v>
      </c>
    </row>
    <row r="5458" spans="1:2" x14ac:dyDescent="0.3">
      <c r="A5458" s="2">
        <v>45885.333333333343</v>
      </c>
      <c r="B5458">
        <f>4084.17038237993*(3/4)</f>
        <v>3063.127786784949</v>
      </c>
    </row>
    <row r="5459" spans="1:2" x14ac:dyDescent="0.3">
      <c r="A5459" s="2">
        <v>45885.375</v>
      </c>
      <c r="B5459">
        <f>4150.93913281908*(3/4)</f>
        <v>3113.2043496143078</v>
      </c>
    </row>
    <row r="5460" spans="1:2" x14ac:dyDescent="0.3">
      <c r="A5460" s="2">
        <v>45885.416666666657</v>
      </c>
      <c r="B5460">
        <f>4245.39965297103*(3/4)</f>
        <v>3184.0497397282752</v>
      </c>
    </row>
    <row r="5461" spans="1:2" x14ac:dyDescent="0.3">
      <c r="A5461" s="2">
        <v>45885.458333333343</v>
      </c>
      <c r="B5461">
        <f>4263.72745975309*(3/4)</f>
        <v>3197.7955948148206</v>
      </c>
    </row>
    <row r="5462" spans="1:2" x14ac:dyDescent="0.3">
      <c r="A5462" s="2">
        <v>45885.5</v>
      </c>
      <c r="B5462">
        <f>3921.50212829168*(3/4)</f>
        <v>2941.1265962187599</v>
      </c>
    </row>
    <row r="5463" spans="1:2" x14ac:dyDescent="0.3">
      <c r="A5463" s="2">
        <v>45885.541666666657</v>
      </c>
      <c r="B5463">
        <f>4157.98172973218*(3/4)</f>
        <v>3118.4862972991327</v>
      </c>
    </row>
    <row r="5464" spans="1:2" x14ac:dyDescent="0.3">
      <c r="A5464" s="2">
        <v>45885.583333333343</v>
      </c>
      <c r="B5464">
        <f>3960.62698890033*(3/4)</f>
        <v>2970.4702416752489</v>
      </c>
    </row>
    <row r="5465" spans="1:2" x14ac:dyDescent="0.3">
      <c r="A5465" s="2">
        <v>45885.625</v>
      </c>
      <c r="B5465">
        <f>4160.28374208948*(3/4)</f>
        <v>3120.2128065671095</v>
      </c>
    </row>
    <row r="5466" spans="1:2" x14ac:dyDescent="0.3">
      <c r="A5466" s="2">
        <v>45885.666666666657</v>
      </c>
      <c r="B5466">
        <f>4237.1247673095*(3/4)</f>
        <v>3177.8435754821226</v>
      </c>
    </row>
    <row r="5467" spans="1:2" x14ac:dyDescent="0.3">
      <c r="A5467" s="2">
        <v>45885.708333333343</v>
      </c>
      <c r="B5467">
        <f>4143.6982211676*(3/4)</f>
        <v>3107.773665875704</v>
      </c>
    </row>
    <row r="5468" spans="1:2" x14ac:dyDescent="0.3">
      <c r="A5468" s="2">
        <v>45885.75</v>
      </c>
      <c r="B5468">
        <f>4394.31100395096*(3/4)</f>
        <v>3295.7332529632235</v>
      </c>
    </row>
    <row r="5469" spans="1:2" x14ac:dyDescent="0.3">
      <c r="A5469" s="2">
        <v>45885.791666666657</v>
      </c>
      <c r="B5469">
        <f>3999.8993679532*(3/4)</f>
        <v>2999.9245259648969</v>
      </c>
    </row>
    <row r="5470" spans="1:2" x14ac:dyDescent="0.3">
      <c r="A5470" s="2">
        <v>45885.833333333343</v>
      </c>
      <c r="B5470">
        <f>4446.99780688385*(3/4)</f>
        <v>3335.2483551628857</v>
      </c>
    </row>
    <row r="5471" spans="1:2" x14ac:dyDescent="0.3">
      <c r="A5471" s="2">
        <v>45885.875</v>
      </c>
      <c r="B5471">
        <f>4139.77031513781*(3/4)</f>
        <v>3104.827736353358</v>
      </c>
    </row>
    <row r="5472" spans="1:2" x14ac:dyDescent="0.3">
      <c r="A5472" s="2">
        <v>45885.916666666657</v>
      </c>
      <c r="B5472">
        <f>4099.23663688882*(3/4)</f>
        <v>3074.427477666612</v>
      </c>
    </row>
    <row r="5473" spans="1:2" x14ac:dyDescent="0.3">
      <c r="A5473" s="2">
        <v>45885.958333333343</v>
      </c>
      <c r="B5473">
        <f>3855.94942074679*(3/4)</f>
        <v>2891.9620655600911</v>
      </c>
    </row>
    <row r="5474" spans="1:2" x14ac:dyDescent="0.3">
      <c r="A5474" s="2">
        <v>45886</v>
      </c>
      <c r="B5474">
        <f>4031.86184054983*(3/4)</f>
        <v>3023.89638041237</v>
      </c>
    </row>
    <row r="5475" spans="1:2" x14ac:dyDescent="0.3">
      <c r="A5475" s="2">
        <v>45886.041666666657</v>
      </c>
      <c r="B5475">
        <f>4377.55061602477*(3/4)</f>
        <v>3283.1629620185772</v>
      </c>
    </row>
    <row r="5476" spans="1:2" x14ac:dyDescent="0.3">
      <c r="A5476" s="2">
        <v>45886.083333333343</v>
      </c>
      <c r="B5476">
        <f>4151.20057666542*(3/4)</f>
        <v>3113.4004324990619</v>
      </c>
    </row>
    <row r="5477" spans="1:2" x14ac:dyDescent="0.3">
      <c r="A5477" s="2">
        <v>45886.125</v>
      </c>
      <c r="B5477">
        <f>4189.53776277215*(3/4)</f>
        <v>3142.1533220791125</v>
      </c>
    </row>
    <row r="5478" spans="1:2" x14ac:dyDescent="0.3">
      <c r="A5478" s="2">
        <v>45886.166666666657</v>
      </c>
      <c r="B5478">
        <f>4120.73031970745*(3/4)</f>
        <v>3090.5477397805889</v>
      </c>
    </row>
    <row r="5479" spans="1:2" x14ac:dyDescent="0.3">
      <c r="A5479" s="2">
        <v>45886.208333333343</v>
      </c>
      <c r="B5479">
        <f>4001.47237578397*(3/4)</f>
        <v>3001.1042818379792</v>
      </c>
    </row>
    <row r="5480" spans="1:2" x14ac:dyDescent="0.3">
      <c r="A5480" s="2">
        <v>45886.25</v>
      </c>
      <c r="B5480">
        <f>3927.1520748211*(3/4)</f>
        <v>2945.3640561158259</v>
      </c>
    </row>
    <row r="5481" spans="1:2" x14ac:dyDescent="0.3">
      <c r="A5481" s="2">
        <v>45886.291666666657</v>
      </c>
      <c r="B5481">
        <f>4316.65508765898*(3/4)</f>
        <v>3237.4913157442352</v>
      </c>
    </row>
    <row r="5482" spans="1:2" x14ac:dyDescent="0.3">
      <c r="A5482" s="2">
        <v>45886.333333333343</v>
      </c>
      <c r="B5482">
        <f>3582.06271155152*(3/4)</f>
        <v>2686.5470336636408</v>
      </c>
    </row>
    <row r="5483" spans="1:2" x14ac:dyDescent="0.3">
      <c r="A5483" s="2">
        <v>45886.375</v>
      </c>
      <c r="B5483">
        <f>3355.62667036847*(3/4)</f>
        <v>2516.7200027763533</v>
      </c>
    </row>
    <row r="5484" spans="1:2" x14ac:dyDescent="0.3">
      <c r="A5484" s="2">
        <v>45886.416666666657</v>
      </c>
      <c r="B5484">
        <f>3214.19537332174*(3/4)</f>
        <v>2410.6465299913034</v>
      </c>
    </row>
    <row r="5485" spans="1:2" x14ac:dyDescent="0.3">
      <c r="A5485" s="2">
        <v>45886.458333333343</v>
      </c>
      <c r="B5485">
        <f>3139.68010612265*(3/4)</f>
        <v>2354.7600795919889</v>
      </c>
    </row>
    <row r="5486" spans="1:2" x14ac:dyDescent="0.3">
      <c r="A5486" s="2">
        <v>45886.5</v>
      </c>
      <c r="B5486">
        <f>3538.77971686376*(3/4)</f>
        <v>2654.0847876478228</v>
      </c>
    </row>
    <row r="5487" spans="1:2" x14ac:dyDescent="0.3">
      <c r="A5487" s="2">
        <v>45886.541666666657</v>
      </c>
      <c r="B5487">
        <f>3411.72703418525*(3/4)</f>
        <v>2558.7952756389404</v>
      </c>
    </row>
    <row r="5488" spans="1:2" x14ac:dyDescent="0.3">
      <c r="A5488" s="2">
        <v>45886.583333333343</v>
      </c>
      <c r="B5488">
        <f>3189.23671506752*(3/4)</f>
        <v>2391.9275363006368</v>
      </c>
    </row>
    <row r="5489" spans="1:2" x14ac:dyDescent="0.3">
      <c r="A5489" s="2">
        <v>45886.625</v>
      </c>
      <c r="B5489">
        <f>3504.4550133782*(3/4)</f>
        <v>2628.3412600336478</v>
      </c>
    </row>
    <row r="5490" spans="1:2" x14ac:dyDescent="0.3">
      <c r="A5490" s="2">
        <v>45886.666666666657</v>
      </c>
      <c r="B5490">
        <f>3533.06855001076*(3/4)</f>
        <v>2649.8014125080676</v>
      </c>
    </row>
    <row r="5491" spans="1:2" x14ac:dyDescent="0.3">
      <c r="A5491" s="2">
        <v>45886.708333333343</v>
      </c>
      <c r="B5491">
        <f>4304.0396563013*(3/4)</f>
        <v>3228.0297422259755</v>
      </c>
    </row>
    <row r="5492" spans="1:2" x14ac:dyDescent="0.3">
      <c r="A5492" s="2">
        <v>45886.75</v>
      </c>
      <c r="B5492">
        <f>4016.77446714146*(3/4)</f>
        <v>3012.5808503560966</v>
      </c>
    </row>
    <row r="5493" spans="1:2" x14ac:dyDescent="0.3">
      <c r="A5493" s="2">
        <v>45886.791666666657</v>
      </c>
      <c r="B5493">
        <f>4079.21958976272*(3/4)</f>
        <v>3059.4146923220414</v>
      </c>
    </row>
    <row r="5494" spans="1:2" x14ac:dyDescent="0.3">
      <c r="A5494" s="2">
        <v>45886.833333333343</v>
      </c>
      <c r="B5494">
        <f>4298.46741475992*(3/4)</f>
        <v>3223.8505610699422</v>
      </c>
    </row>
    <row r="5495" spans="1:2" x14ac:dyDescent="0.3">
      <c r="A5495" s="2">
        <v>45886.875</v>
      </c>
      <c r="B5495">
        <f>4349.68634649576*(3/4)</f>
        <v>3262.2647598718177</v>
      </c>
    </row>
    <row r="5496" spans="1:2" x14ac:dyDescent="0.3">
      <c r="A5496" s="2">
        <v>45886.916666666657</v>
      </c>
      <c r="B5496">
        <f>3999.75280320526*(3/4)</f>
        <v>2999.8146024039434</v>
      </c>
    </row>
    <row r="5497" spans="1:2" x14ac:dyDescent="0.3">
      <c r="A5497" s="2">
        <v>45886.958333333343</v>
      </c>
      <c r="B5497">
        <f>3911.65862797063*(3/4)</f>
        <v>2933.7439709779756</v>
      </c>
    </row>
    <row r="5498" spans="1:2" x14ac:dyDescent="0.3">
      <c r="A5498" s="2">
        <v>45887</v>
      </c>
      <c r="B5498">
        <f>3984.7742674823*(3/4)</f>
        <v>2988.5807006117257</v>
      </c>
    </row>
    <row r="5499" spans="1:2" x14ac:dyDescent="0.3">
      <c r="A5499" s="2">
        <v>45887.041666666657</v>
      </c>
      <c r="B5499">
        <f>4060.24122000589*(3/4)</f>
        <v>3045.1809150044191</v>
      </c>
    </row>
    <row r="5500" spans="1:2" x14ac:dyDescent="0.3">
      <c r="A5500" s="2">
        <v>45887.083333333343</v>
      </c>
      <c r="B5500">
        <f>4071.77212525394*(3/4)</f>
        <v>3053.8290939404519</v>
      </c>
    </row>
    <row r="5501" spans="1:2" x14ac:dyDescent="0.3">
      <c r="A5501" s="2">
        <v>45887.125</v>
      </c>
      <c r="B5501">
        <f>4283.0479910875*(3/4)</f>
        <v>3212.2859933156251</v>
      </c>
    </row>
    <row r="5502" spans="1:2" x14ac:dyDescent="0.3">
      <c r="A5502" s="2">
        <v>45887.166666666657</v>
      </c>
      <c r="B5502">
        <f>4111.6343570826*(3/4)</f>
        <v>3083.7257678119531</v>
      </c>
    </row>
    <row r="5503" spans="1:2" x14ac:dyDescent="0.3">
      <c r="A5503" s="2">
        <v>45887.208333333343</v>
      </c>
      <c r="B5503">
        <f>4178.88716972639*(3/4)</f>
        <v>3134.1653772947948</v>
      </c>
    </row>
    <row r="5504" spans="1:2" x14ac:dyDescent="0.3">
      <c r="A5504" s="2">
        <v>45887.25</v>
      </c>
      <c r="B5504">
        <f>3827.888602232*(3/4)</f>
        <v>2870.9164516739993</v>
      </c>
    </row>
    <row r="5505" spans="1:2" x14ac:dyDescent="0.3">
      <c r="A5505" s="2">
        <v>45887.291666666657</v>
      </c>
      <c r="B5505">
        <f>4127.50479667769*(3/4)</f>
        <v>3095.6285975082674</v>
      </c>
    </row>
    <row r="5506" spans="1:2" x14ac:dyDescent="0.3">
      <c r="A5506" s="2">
        <v>45887.333333333343</v>
      </c>
      <c r="B5506">
        <f>4391.30636375403*(3/4)</f>
        <v>3293.4797728155227</v>
      </c>
    </row>
    <row r="5507" spans="1:2" x14ac:dyDescent="0.3">
      <c r="A5507" s="2">
        <v>45887.375</v>
      </c>
      <c r="B5507">
        <f>4433.44106504622*(3/4)</f>
        <v>3325.0807987846661</v>
      </c>
    </row>
    <row r="5508" spans="1:2" x14ac:dyDescent="0.3">
      <c r="A5508" s="2">
        <v>45887.416666666657</v>
      </c>
      <c r="B5508">
        <f>4177.19018907878*(3/4)</f>
        <v>3132.8926418090859</v>
      </c>
    </row>
    <row r="5509" spans="1:2" x14ac:dyDescent="0.3">
      <c r="A5509" s="2">
        <v>45887.458333333343</v>
      </c>
      <c r="B5509">
        <f>4481.87714437691*(3/4)</f>
        <v>3361.4078582826814</v>
      </c>
    </row>
    <row r="5510" spans="1:2" x14ac:dyDescent="0.3">
      <c r="A5510" s="2">
        <v>45887.5</v>
      </c>
      <c r="B5510">
        <f>4667.20608599017*(3/4)</f>
        <v>3500.4045644926273</v>
      </c>
    </row>
    <row r="5511" spans="1:2" x14ac:dyDescent="0.3">
      <c r="A5511" s="2">
        <v>45887.541666666657</v>
      </c>
      <c r="B5511">
        <f>4105.53192745337*(3/4)</f>
        <v>3079.1489455900246</v>
      </c>
    </row>
    <row r="5512" spans="1:2" x14ac:dyDescent="0.3">
      <c r="A5512" s="2">
        <v>45887.583333333343</v>
      </c>
      <c r="B5512">
        <f>4076.84528678447*(3/4)</f>
        <v>3057.6339650883547</v>
      </c>
    </row>
    <row r="5513" spans="1:2" x14ac:dyDescent="0.3">
      <c r="A5513" s="2">
        <v>45887.625</v>
      </c>
      <c r="B5513">
        <f>3979.42387392509*(3/4)</f>
        <v>2984.5679054438187</v>
      </c>
    </row>
    <row r="5514" spans="1:2" x14ac:dyDescent="0.3">
      <c r="A5514" s="2">
        <v>45887.666666666657</v>
      </c>
      <c r="B5514">
        <f>4528.94486546372*(3/4)</f>
        <v>3396.7086490977917</v>
      </c>
    </row>
    <row r="5515" spans="1:2" x14ac:dyDescent="0.3">
      <c r="A5515" s="2">
        <v>45887.708333333343</v>
      </c>
      <c r="B5515">
        <f>4364.48797347172*(3/4)</f>
        <v>3273.3659801037902</v>
      </c>
    </row>
    <row r="5516" spans="1:2" x14ac:dyDescent="0.3">
      <c r="A5516" s="2">
        <v>45887.75</v>
      </c>
      <c r="B5516">
        <f>4337.96588699432*(3/4)</f>
        <v>3253.474415245737</v>
      </c>
    </row>
    <row r="5517" spans="1:2" x14ac:dyDescent="0.3">
      <c r="A5517" s="2">
        <v>45887.791666666657</v>
      </c>
      <c r="B5517">
        <f>3936.9233883104*(3/4)</f>
        <v>2952.6925412327973</v>
      </c>
    </row>
    <row r="5518" spans="1:2" x14ac:dyDescent="0.3">
      <c r="A5518" s="2">
        <v>45887.833333333343</v>
      </c>
      <c r="B5518">
        <f>4139.22701734758*(3/4)</f>
        <v>3104.420263010682</v>
      </c>
    </row>
    <row r="5519" spans="1:2" x14ac:dyDescent="0.3">
      <c r="A5519" s="2">
        <v>45887.875</v>
      </c>
      <c r="B5519">
        <f>3887.22953705523*(3/4)</f>
        <v>2915.4221527914242</v>
      </c>
    </row>
    <row r="5520" spans="1:2" x14ac:dyDescent="0.3">
      <c r="A5520" s="2">
        <v>45887.916666666657</v>
      </c>
      <c r="B5520">
        <f>3783.38419335663*(3/4)</f>
        <v>2837.5381450174687</v>
      </c>
    </row>
    <row r="5521" spans="1:2" x14ac:dyDescent="0.3">
      <c r="A5521" s="2">
        <v>45887.958333333343</v>
      </c>
      <c r="B5521">
        <f>3961.04843292334*(3/4)</f>
        <v>2970.7863246925035</v>
      </c>
    </row>
    <row r="5522" spans="1:2" x14ac:dyDescent="0.3">
      <c r="A5522" s="2">
        <v>45888</v>
      </c>
      <c r="B5522">
        <f>4155.44016958091*(3/4)</f>
        <v>3116.5801271856812</v>
      </c>
    </row>
    <row r="5523" spans="1:2" x14ac:dyDescent="0.3">
      <c r="A5523" s="2">
        <v>45888.041666666657</v>
      </c>
      <c r="B5523">
        <f>4166.12760022271*(3/4)</f>
        <v>3124.5957001670349</v>
      </c>
    </row>
    <row r="5524" spans="1:2" x14ac:dyDescent="0.3">
      <c r="A5524" s="2">
        <v>45888.083333333343</v>
      </c>
      <c r="B5524">
        <f>4232.08581322514*(3/4)</f>
        <v>3174.0643599188552</v>
      </c>
    </row>
    <row r="5525" spans="1:2" x14ac:dyDescent="0.3">
      <c r="A5525" s="2">
        <v>45888.125</v>
      </c>
      <c r="B5525">
        <f>4316.71180152687*(3/4)</f>
        <v>3237.533851145155</v>
      </c>
    </row>
    <row r="5526" spans="1:2" x14ac:dyDescent="0.3">
      <c r="A5526" s="2">
        <v>45888.166666666657</v>
      </c>
      <c r="B5526">
        <f>4385.03500598106*(3/4)</f>
        <v>3288.7762544857942</v>
      </c>
    </row>
    <row r="5527" spans="1:2" x14ac:dyDescent="0.3">
      <c r="A5527" s="2">
        <v>45888.208333333343</v>
      </c>
      <c r="B5527">
        <f>3901.40230147939*(3/4)</f>
        <v>2926.0517261095456</v>
      </c>
    </row>
    <row r="5528" spans="1:2" x14ac:dyDescent="0.3">
      <c r="A5528" s="2">
        <v>45888.25</v>
      </c>
      <c r="B5528">
        <f>3815.084930926*(3/4)</f>
        <v>2861.3136981945017</v>
      </c>
    </row>
    <row r="5529" spans="1:2" x14ac:dyDescent="0.3">
      <c r="A5529" s="2">
        <v>45888.291666666657</v>
      </c>
      <c r="B5529">
        <f>4131.78490070213*(3/4)</f>
        <v>3098.8386755265965</v>
      </c>
    </row>
    <row r="5530" spans="1:2" x14ac:dyDescent="0.3">
      <c r="A5530" s="2">
        <v>45888.333333333343</v>
      </c>
      <c r="B5530">
        <f>4456.27781837148*(3/4)</f>
        <v>3342.2083637786113</v>
      </c>
    </row>
    <row r="5531" spans="1:2" x14ac:dyDescent="0.3">
      <c r="A5531" s="2">
        <v>45888.375</v>
      </c>
      <c r="B5531">
        <f>4209.42540328255*(3/4)</f>
        <v>3157.0690524619154</v>
      </c>
    </row>
    <row r="5532" spans="1:2" x14ac:dyDescent="0.3">
      <c r="A5532" s="2">
        <v>45888.416666666657</v>
      </c>
      <c r="B5532">
        <f>4256.97498695187*(3/4)</f>
        <v>3192.7312402139046</v>
      </c>
    </row>
    <row r="5533" spans="1:2" x14ac:dyDescent="0.3">
      <c r="A5533" s="2">
        <v>45888.458333333343</v>
      </c>
      <c r="B5533">
        <f>4235.19050111222*(3/4)</f>
        <v>3176.3928758341644</v>
      </c>
    </row>
    <row r="5534" spans="1:2" x14ac:dyDescent="0.3">
      <c r="A5534" s="2">
        <v>45888.5</v>
      </c>
      <c r="B5534">
        <f>4380.3531799122*(3/4)</f>
        <v>3285.2648849341481</v>
      </c>
    </row>
    <row r="5535" spans="1:2" x14ac:dyDescent="0.3">
      <c r="A5535" s="2">
        <v>45888.541666666657</v>
      </c>
      <c r="B5535">
        <f>4328.1213942471*(3/4)</f>
        <v>3246.0910456853253</v>
      </c>
    </row>
    <row r="5536" spans="1:2" x14ac:dyDescent="0.3">
      <c r="A5536" s="2">
        <v>45888.583333333343</v>
      </c>
      <c r="B5536">
        <f>3965.75296508857*(3/4)</f>
        <v>2974.3147238164306</v>
      </c>
    </row>
    <row r="5537" spans="1:2" x14ac:dyDescent="0.3">
      <c r="A5537" s="2">
        <v>45888.625</v>
      </c>
      <c r="B5537">
        <f>4540.94725896397*(3/4)</f>
        <v>3405.7104442229761</v>
      </c>
    </row>
    <row r="5538" spans="1:2" x14ac:dyDescent="0.3">
      <c r="A5538" s="2">
        <v>45888.666666666657</v>
      </c>
      <c r="B5538">
        <f>4584.00914076707*(3/4)</f>
        <v>3438.0068555753037</v>
      </c>
    </row>
    <row r="5539" spans="1:2" x14ac:dyDescent="0.3">
      <c r="A5539" s="2">
        <v>45888.708333333343</v>
      </c>
      <c r="B5539">
        <f>4028.15090555131*(3/4)</f>
        <v>3021.1131791634825</v>
      </c>
    </row>
    <row r="5540" spans="1:2" x14ac:dyDescent="0.3">
      <c r="A5540" s="2">
        <v>45888.75</v>
      </c>
      <c r="B5540">
        <f>3997.64166060733*(3/4)</f>
        <v>2998.2312454554967</v>
      </c>
    </row>
    <row r="5541" spans="1:2" x14ac:dyDescent="0.3">
      <c r="A5541" s="2">
        <v>45888.791666666657</v>
      </c>
      <c r="B5541">
        <f>3963.87110993273*(3/4)</f>
        <v>2972.903332449549</v>
      </c>
    </row>
    <row r="5542" spans="1:2" x14ac:dyDescent="0.3">
      <c r="A5542" s="2">
        <v>45888.833333333343</v>
      </c>
      <c r="B5542">
        <f>4118.72739361788*(3/4)</f>
        <v>3089.0455452134079</v>
      </c>
    </row>
    <row r="5543" spans="1:2" x14ac:dyDescent="0.3">
      <c r="A5543" s="2">
        <v>45888.875</v>
      </c>
      <c r="B5543">
        <f>4108.89443947933*(3/4)</f>
        <v>3081.6708296094957</v>
      </c>
    </row>
    <row r="5544" spans="1:2" x14ac:dyDescent="0.3">
      <c r="A5544" s="2">
        <v>45888.916666666657</v>
      </c>
      <c r="B5544">
        <f>4130.90022500597*(3/4)</f>
        <v>3098.1751687544802</v>
      </c>
    </row>
    <row r="5545" spans="1:2" x14ac:dyDescent="0.3">
      <c r="A5545" s="2">
        <v>45888.958333333343</v>
      </c>
      <c r="B5545">
        <f>3909.66140068401*(3/4)</f>
        <v>2932.2460505130075</v>
      </c>
    </row>
    <row r="5546" spans="1:2" x14ac:dyDescent="0.3">
      <c r="A5546" s="2">
        <v>45889</v>
      </c>
      <c r="B5546">
        <f>4027.46648207624*(3/4)</f>
        <v>3020.5998615571798</v>
      </c>
    </row>
    <row r="5547" spans="1:2" x14ac:dyDescent="0.3">
      <c r="A5547" s="2">
        <v>45889.041666666657</v>
      </c>
      <c r="B5547">
        <f>3915.88101598297*(3/4)</f>
        <v>2936.9107619872284</v>
      </c>
    </row>
    <row r="5548" spans="1:2" x14ac:dyDescent="0.3">
      <c r="A5548" s="2">
        <v>45889.083333333343</v>
      </c>
      <c r="B5548">
        <f>4105.33766993622*(3/4)</f>
        <v>3079.0032524521639</v>
      </c>
    </row>
    <row r="5549" spans="1:2" x14ac:dyDescent="0.3">
      <c r="A5549" s="2">
        <v>45889.125</v>
      </c>
      <c r="B5549">
        <f>4162.12298558343*(3/4)</f>
        <v>3121.5922391875697</v>
      </c>
    </row>
    <row r="5550" spans="1:2" x14ac:dyDescent="0.3">
      <c r="A5550" s="2">
        <v>45889.166666666657</v>
      </c>
      <c r="B5550">
        <f>4139.24099848264*(3/4)</f>
        <v>3104.4307488619797</v>
      </c>
    </row>
    <row r="5551" spans="1:2" x14ac:dyDescent="0.3">
      <c r="A5551" s="2">
        <v>45889.208333333343</v>
      </c>
      <c r="B5551">
        <f>3949.07354158633*(3/4)</f>
        <v>2961.8051561897473</v>
      </c>
    </row>
    <row r="5552" spans="1:2" x14ac:dyDescent="0.3">
      <c r="A5552" s="2">
        <v>45889.25</v>
      </c>
      <c r="B5552">
        <f>3525.83853270992*(3/4)</f>
        <v>2644.378899532438</v>
      </c>
    </row>
    <row r="5553" spans="1:2" x14ac:dyDescent="0.3">
      <c r="A5553" s="2">
        <v>45889.291666666657</v>
      </c>
      <c r="B5553">
        <f>4048.21386034969*(3/4)</f>
        <v>3036.1603952622677</v>
      </c>
    </row>
    <row r="5554" spans="1:2" x14ac:dyDescent="0.3">
      <c r="A5554" s="2">
        <v>45889.333333333343</v>
      </c>
      <c r="B5554">
        <f>4426.10348651416*(3/4)</f>
        <v>3319.5776148856212</v>
      </c>
    </row>
    <row r="5555" spans="1:2" x14ac:dyDescent="0.3">
      <c r="A5555" s="2">
        <v>45889.375</v>
      </c>
      <c r="B5555">
        <f>4192.09220452755*(3/4)</f>
        <v>3144.0691533956633</v>
      </c>
    </row>
    <row r="5556" spans="1:2" x14ac:dyDescent="0.3">
      <c r="A5556" s="2">
        <v>45889.416666666657</v>
      </c>
      <c r="B5556">
        <f>4406.59730715028*(3/4)</f>
        <v>3304.9479803627128</v>
      </c>
    </row>
    <row r="5557" spans="1:2" x14ac:dyDescent="0.3">
      <c r="A5557" s="2">
        <v>45889.458333333343</v>
      </c>
      <c r="B5557">
        <f>4224.65907087426*(3/4)</f>
        <v>3168.4943031556977</v>
      </c>
    </row>
    <row r="5558" spans="1:2" x14ac:dyDescent="0.3">
      <c r="A5558" s="2">
        <v>45889.5</v>
      </c>
      <c r="B5558">
        <f>4580.2523787563*(3/4)</f>
        <v>3435.1892840672267</v>
      </c>
    </row>
    <row r="5559" spans="1:2" x14ac:dyDescent="0.3">
      <c r="A5559" s="2">
        <v>45889.541666666657</v>
      </c>
      <c r="B5559">
        <f>4181.12338529812*(3/4)</f>
        <v>3135.8425389735912</v>
      </c>
    </row>
    <row r="5560" spans="1:2" x14ac:dyDescent="0.3">
      <c r="A5560" s="2">
        <v>45889.583333333343</v>
      </c>
      <c r="B5560">
        <f>3762.84218904543*(3/4)</f>
        <v>2822.1316417840758</v>
      </c>
    </row>
    <row r="5561" spans="1:2" x14ac:dyDescent="0.3">
      <c r="A5561" s="2">
        <v>45889.625</v>
      </c>
      <c r="B5561">
        <f>4446.20889447855*(3/4)</f>
        <v>3334.6566708589162</v>
      </c>
    </row>
    <row r="5562" spans="1:2" x14ac:dyDescent="0.3">
      <c r="A5562" s="2">
        <v>45889.666666666657</v>
      </c>
      <c r="B5562">
        <f>4023.21368008166*(3/4)</f>
        <v>3017.4102600612432</v>
      </c>
    </row>
    <row r="5563" spans="1:2" x14ac:dyDescent="0.3">
      <c r="A5563" s="2">
        <v>45889.708333333343</v>
      </c>
      <c r="B5563">
        <f>4389.26725618495*(3/4)</f>
        <v>3291.9504421387114</v>
      </c>
    </row>
    <row r="5564" spans="1:2" x14ac:dyDescent="0.3">
      <c r="A5564" s="2">
        <v>45889.75</v>
      </c>
      <c r="B5564">
        <f>4417.63094191078*(3/4)</f>
        <v>3313.2232064330819</v>
      </c>
    </row>
    <row r="5565" spans="1:2" x14ac:dyDescent="0.3">
      <c r="A5565" s="2">
        <v>45889.791666666657</v>
      </c>
      <c r="B5565">
        <f>4188.89528083498*(3/4)</f>
        <v>3141.6714606262376</v>
      </c>
    </row>
    <row r="5566" spans="1:2" x14ac:dyDescent="0.3">
      <c r="A5566" s="2">
        <v>45889.833333333343</v>
      </c>
      <c r="B5566">
        <f>4510.99373448072*(3/4)</f>
        <v>3383.2453008605416</v>
      </c>
    </row>
    <row r="5567" spans="1:2" x14ac:dyDescent="0.3">
      <c r="A5567" s="2">
        <v>45889.875</v>
      </c>
      <c r="B5567">
        <f>4545.67800273832*(3/4)</f>
        <v>3409.2585020537381</v>
      </c>
    </row>
    <row r="5568" spans="1:2" x14ac:dyDescent="0.3">
      <c r="A5568" s="2">
        <v>45889.916666666657</v>
      </c>
      <c r="B5568">
        <f>3938.27670205834*(3/4)</f>
        <v>2953.707526543757</v>
      </c>
    </row>
    <row r="5569" spans="1:2" x14ac:dyDescent="0.3">
      <c r="A5569" s="2">
        <v>45889.958333333343</v>
      </c>
      <c r="B5569">
        <f>4002.0772350291*(3/4)</f>
        <v>3001.557926271822</v>
      </c>
    </row>
    <row r="5570" spans="1:2" x14ac:dyDescent="0.3">
      <c r="A5570" s="2">
        <v>45890</v>
      </c>
      <c r="B5570">
        <f>4506.50909315776*(3/4)</f>
        <v>3379.881819868323</v>
      </c>
    </row>
    <row r="5571" spans="1:2" x14ac:dyDescent="0.3">
      <c r="A5571" s="2">
        <v>45890.041666666657</v>
      </c>
      <c r="B5571">
        <f>4040.81548065019*(3/4)</f>
        <v>3030.611610487646</v>
      </c>
    </row>
    <row r="5572" spans="1:2" x14ac:dyDescent="0.3">
      <c r="A5572" s="2">
        <v>45890.083333333343</v>
      </c>
      <c r="B5572">
        <f>4036.4531680388*(3/4)</f>
        <v>3027.3398760290984</v>
      </c>
    </row>
    <row r="5573" spans="1:2" x14ac:dyDescent="0.3">
      <c r="A5573" s="2">
        <v>45890.125</v>
      </c>
      <c r="B5573">
        <f>4160.76136010729*(3/4)</f>
        <v>3120.5710200804697</v>
      </c>
    </row>
    <row r="5574" spans="1:2" x14ac:dyDescent="0.3">
      <c r="A5574" s="2">
        <v>45890.166666666657</v>
      </c>
      <c r="B5574">
        <f>4283.41225353346*(3/4)</f>
        <v>3212.559190150097</v>
      </c>
    </row>
    <row r="5575" spans="1:2" x14ac:dyDescent="0.3">
      <c r="A5575" s="2">
        <v>45890.208333333343</v>
      </c>
      <c r="B5575">
        <f>4015.29380768665*(3/4)</f>
        <v>3011.4703557649873</v>
      </c>
    </row>
    <row r="5576" spans="1:2" x14ac:dyDescent="0.3">
      <c r="A5576" s="2">
        <v>45890.25</v>
      </c>
      <c r="B5576">
        <f>4133.36876573528*(3/4)</f>
        <v>3100.0265743014575</v>
      </c>
    </row>
    <row r="5577" spans="1:2" x14ac:dyDescent="0.3">
      <c r="A5577" s="2">
        <v>45890.291666666657</v>
      </c>
      <c r="B5577">
        <f>4244.44717845238*(3/4)</f>
        <v>3183.335383839285</v>
      </c>
    </row>
    <row r="5578" spans="1:2" x14ac:dyDescent="0.3">
      <c r="A5578" s="2">
        <v>45890.333333333343</v>
      </c>
      <c r="B5578">
        <f>4466.84841010353*(3/4)</f>
        <v>3350.1363075776462</v>
      </c>
    </row>
    <row r="5579" spans="1:2" x14ac:dyDescent="0.3">
      <c r="A5579" s="2">
        <v>45890.375</v>
      </c>
      <c r="B5579">
        <f>4337.21808815147*(3/4)</f>
        <v>3252.9135661136056</v>
      </c>
    </row>
    <row r="5580" spans="1:2" x14ac:dyDescent="0.3">
      <c r="A5580" s="2">
        <v>45890.416666666657</v>
      </c>
      <c r="B5580">
        <f>4448.4502327839*(3/4)</f>
        <v>3336.3376745879223</v>
      </c>
    </row>
    <row r="5581" spans="1:2" x14ac:dyDescent="0.3">
      <c r="A5581" s="2">
        <v>45890.458333333343</v>
      </c>
      <c r="B5581">
        <f>4446.32275705171*(3/4)</f>
        <v>3334.7420677887803</v>
      </c>
    </row>
    <row r="5582" spans="1:2" x14ac:dyDescent="0.3">
      <c r="A5582" s="2">
        <v>45890.5</v>
      </c>
      <c r="B5582">
        <f>4352.7200391519*(3/4)</f>
        <v>3264.5400293639213</v>
      </c>
    </row>
    <row r="5583" spans="1:2" x14ac:dyDescent="0.3">
      <c r="A5583" s="2">
        <v>45890.541666666657</v>
      </c>
      <c r="B5583">
        <f>4317.51452290968*(3/4)</f>
        <v>3238.1358921822584</v>
      </c>
    </row>
    <row r="5584" spans="1:2" x14ac:dyDescent="0.3">
      <c r="A5584" s="2">
        <v>45890.583333333343</v>
      </c>
      <c r="B5584">
        <f>4197.32808413039*(3/4)</f>
        <v>3147.9960630977962</v>
      </c>
    </row>
    <row r="5585" spans="1:2" x14ac:dyDescent="0.3">
      <c r="A5585" s="2">
        <v>45890.625</v>
      </c>
      <c r="B5585">
        <f>4143.78476457698*(3/4)</f>
        <v>3107.8385734327385</v>
      </c>
    </row>
    <row r="5586" spans="1:2" x14ac:dyDescent="0.3">
      <c r="A5586" s="2">
        <v>45890.666666666657</v>
      </c>
      <c r="B5586">
        <f>4290.45569543178*(3/4)</f>
        <v>3217.8417715738351</v>
      </c>
    </row>
    <row r="5587" spans="1:2" x14ac:dyDescent="0.3">
      <c r="A5587" s="2">
        <v>45890.708333333343</v>
      </c>
      <c r="B5587">
        <f>4347.6335293684*(3/4)</f>
        <v>3260.7251470262981</v>
      </c>
    </row>
    <row r="5588" spans="1:2" x14ac:dyDescent="0.3">
      <c r="A5588" s="2">
        <v>45890.75</v>
      </c>
      <c r="B5588">
        <f>4088.91178552134*(3/4)</f>
        <v>3066.6838391410079</v>
      </c>
    </row>
    <row r="5589" spans="1:2" x14ac:dyDescent="0.3">
      <c r="A5589" s="2">
        <v>45890.791666666657</v>
      </c>
      <c r="B5589">
        <f>4443.43101605197*(3/4)</f>
        <v>3332.5732620389808</v>
      </c>
    </row>
    <row r="5590" spans="1:2" x14ac:dyDescent="0.3">
      <c r="A5590" s="2">
        <v>45890.833333333343</v>
      </c>
      <c r="B5590">
        <f>4301.35007000801*(3/4)</f>
        <v>3226.0125525060071</v>
      </c>
    </row>
    <row r="5591" spans="1:2" x14ac:dyDescent="0.3">
      <c r="A5591" s="2">
        <v>45890.875</v>
      </c>
      <c r="B5591">
        <f>4186.69426381257*(3/4)</f>
        <v>3140.0206978594297</v>
      </c>
    </row>
    <row r="5592" spans="1:2" x14ac:dyDescent="0.3">
      <c r="A5592" s="2">
        <v>45890.916666666657</v>
      </c>
      <c r="B5592">
        <f>3740.1992026378*(3/4)</f>
        <v>2805.1494019783477</v>
      </c>
    </row>
    <row r="5593" spans="1:2" x14ac:dyDescent="0.3">
      <c r="A5593" s="2">
        <v>45890.958333333343</v>
      </c>
      <c r="B5593">
        <f>4067.27498690205*(3/4)</f>
        <v>3050.4562401765393</v>
      </c>
    </row>
    <row r="5594" spans="1:2" x14ac:dyDescent="0.3">
      <c r="A5594" s="2">
        <v>45891</v>
      </c>
      <c r="B5594">
        <f>4078.25045170418*(3/4)</f>
        <v>3058.6878387781358</v>
      </c>
    </row>
    <row r="5595" spans="1:2" x14ac:dyDescent="0.3">
      <c r="A5595" s="2">
        <v>45891.041666666657</v>
      </c>
      <c r="B5595">
        <f>4160.73160830181*(3/4)</f>
        <v>3120.5487062263555</v>
      </c>
    </row>
    <row r="5596" spans="1:2" x14ac:dyDescent="0.3">
      <c r="A5596" s="2">
        <v>45891.083333333343</v>
      </c>
      <c r="B5596">
        <f>3876.93724423185*(3/4)</f>
        <v>2907.7029331738913</v>
      </c>
    </row>
    <row r="5597" spans="1:2" x14ac:dyDescent="0.3">
      <c r="A5597" s="2">
        <v>45891.125</v>
      </c>
      <c r="B5597">
        <f>3976.62126447156*(3/4)</f>
        <v>2982.465948353672</v>
      </c>
    </row>
    <row r="5598" spans="1:2" x14ac:dyDescent="0.3">
      <c r="A5598" s="2">
        <v>45891.166666666657</v>
      </c>
      <c r="B5598">
        <f>3955.82626122135*(3/4)</f>
        <v>2966.8696959160125</v>
      </c>
    </row>
    <row r="5599" spans="1:2" x14ac:dyDescent="0.3">
      <c r="A5599" s="2">
        <v>45891.208333333343</v>
      </c>
      <c r="B5599">
        <f>4234.90130476009*(3/4)</f>
        <v>3176.175978570066</v>
      </c>
    </row>
    <row r="5600" spans="1:2" x14ac:dyDescent="0.3">
      <c r="A5600" s="2">
        <v>45891.25</v>
      </c>
      <c r="B5600">
        <f>4104.22985818667*(3/4)</f>
        <v>3078.1723936400058</v>
      </c>
    </row>
    <row r="5601" spans="1:2" x14ac:dyDescent="0.3">
      <c r="A5601" s="2">
        <v>45891.291666666657</v>
      </c>
      <c r="B5601">
        <f>4313.30191088265*(3/4)</f>
        <v>3234.9764331619904</v>
      </c>
    </row>
    <row r="5602" spans="1:2" x14ac:dyDescent="0.3">
      <c r="A5602" s="2">
        <v>45891.333333333343</v>
      </c>
      <c r="B5602">
        <f>4181.17328863222*(3/4)</f>
        <v>3135.8799664741664</v>
      </c>
    </row>
    <row r="5603" spans="1:2" x14ac:dyDescent="0.3">
      <c r="A5603" s="2">
        <v>45891.375</v>
      </c>
      <c r="B5603">
        <f>4248.12868570594*(3/4)</f>
        <v>3186.0965142794585</v>
      </c>
    </row>
    <row r="5604" spans="1:2" x14ac:dyDescent="0.3">
      <c r="A5604" s="2">
        <v>45891.416666666657</v>
      </c>
      <c r="B5604">
        <f>3960.38805834653*(3/4)</f>
        <v>2970.2910437598966</v>
      </c>
    </row>
    <row r="5605" spans="1:2" x14ac:dyDescent="0.3">
      <c r="A5605" s="2">
        <v>45891.458333333343</v>
      </c>
      <c r="B5605">
        <f>4076.26861558233*(3/4)</f>
        <v>3057.20146168675</v>
      </c>
    </row>
    <row r="5606" spans="1:2" x14ac:dyDescent="0.3">
      <c r="A5606" s="2">
        <v>45891.5</v>
      </c>
      <c r="B5606">
        <f>3768.31108329426*(3/4)</f>
        <v>2826.2333124706956</v>
      </c>
    </row>
    <row r="5607" spans="1:2" x14ac:dyDescent="0.3">
      <c r="A5607" s="2">
        <v>45891.541666666657</v>
      </c>
      <c r="B5607">
        <f>4191.45019566794*(3/4)</f>
        <v>3143.5876467509524</v>
      </c>
    </row>
    <row r="5608" spans="1:2" x14ac:dyDescent="0.3">
      <c r="A5608" s="2">
        <v>45891.583333333343</v>
      </c>
      <c r="B5608">
        <f>3941.03402330239*(3/4)</f>
        <v>2955.7755174767949</v>
      </c>
    </row>
    <row r="5609" spans="1:2" x14ac:dyDescent="0.3">
      <c r="A5609" s="2">
        <v>45891.625</v>
      </c>
      <c r="B5609">
        <f>4035.59865385159*(3/4)</f>
        <v>3026.6989903886906</v>
      </c>
    </row>
    <row r="5610" spans="1:2" x14ac:dyDescent="0.3">
      <c r="A5610" s="2">
        <v>45891.666666666657</v>
      </c>
      <c r="B5610">
        <f>4489.4251039054*(3/4)</f>
        <v>3367.0688279290462</v>
      </c>
    </row>
    <row r="5611" spans="1:2" x14ac:dyDescent="0.3">
      <c r="A5611" s="2">
        <v>45891.708333333343</v>
      </c>
      <c r="B5611">
        <f>4022.82301423188*(3/4)</f>
        <v>3017.1172606739083</v>
      </c>
    </row>
    <row r="5612" spans="1:2" x14ac:dyDescent="0.3">
      <c r="A5612" s="2">
        <v>45891.75</v>
      </c>
      <c r="B5612">
        <f>4176.94502118555*(3/4)</f>
        <v>3132.7087658891619</v>
      </c>
    </row>
    <row r="5613" spans="1:2" x14ac:dyDescent="0.3">
      <c r="A5613" s="2">
        <v>45891.791666666657</v>
      </c>
      <c r="B5613">
        <f>4103.75522068623*(3/4)</f>
        <v>3077.8164155146692</v>
      </c>
    </row>
    <row r="5614" spans="1:2" x14ac:dyDescent="0.3">
      <c r="A5614" s="2">
        <v>45891.833333333343</v>
      </c>
      <c r="B5614">
        <f>4414.49343801099*(3/4)</f>
        <v>3310.870078508241</v>
      </c>
    </row>
    <row r="5615" spans="1:2" x14ac:dyDescent="0.3">
      <c r="A5615" s="2">
        <v>45891.875</v>
      </c>
      <c r="B5615">
        <f>3990.40513309257*(3/4)</f>
        <v>2992.803849819426</v>
      </c>
    </row>
    <row r="5616" spans="1:2" x14ac:dyDescent="0.3">
      <c r="A5616" s="2">
        <v>45891.916666666657</v>
      </c>
      <c r="B5616">
        <f>4150.84844453892*(3/4)</f>
        <v>3113.136333404188</v>
      </c>
    </row>
    <row r="5617" spans="1:2" x14ac:dyDescent="0.3">
      <c r="A5617" s="2">
        <v>45891.958333333343</v>
      </c>
      <c r="B5617">
        <f>3998.42626911505*(3/4)</f>
        <v>2998.8197018362866</v>
      </c>
    </row>
    <row r="5618" spans="1:2" x14ac:dyDescent="0.3">
      <c r="A5618" s="2">
        <v>45892</v>
      </c>
      <c r="B5618">
        <f>4165.39007520503*(3/4)</f>
        <v>3124.0425564037741</v>
      </c>
    </row>
    <row r="5619" spans="1:2" x14ac:dyDescent="0.3">
      <c r="A5619" s="2">
        <v>45892.041666666657</v>
      </c>
      <c r="B5619">
        <f>4079.89406792703*(3/4)</f>
        <v>3059.920550945274</v>
      </c>
    </row>
    <row r="5620" spans="1:2" x14ac:dyDescent="0.3">
      <c r="A5620" s="2">
        <v>45892.083333333343</v>
      </c>
      <c r="B5620">
        <f>4184.51606236262*(3/4)</f>
        <v>3138.3870467719644</v>
      </c>
    </row>
    <row r="5621" spans="1:2" x14ac:dyDescent="0.3">
      <c r="A5621" s="2">
        <v>45892.125</v>
      </c>
      <c r="B5621">
        <f>4021.01890810454*(3/4)</f>
        <v>3015.7641810784071</v>
      </c>
    </row>
    <row r="5622" spans="1:2" x14ac:dyDescent="0.3">
      <c r="A5622" s="2">
        <v>45892.166666666657</v>
      </c>
      <c r="B5622">
        <f>4604.66484666475*(3/4)</f>
        <v>3453.4986349985638</v>
      </c>
    </row>
    <row r="5623" spans="1:2" x14ac:dyDescent="0.3">
      <c r="A5623" s="2">
        <v>45892.208333333343</v>
      </c>
      <c r="B5623">
        <f>4230.81823035625*(3/4)</f>
        <v>3173.1136727671887</v>
      </c>
    </row>
    <row r="5624" spans="1:2" x14ac:dyDescent="0.3">
      <c r="A5624" s="2">
        <v>45892.25</v>
      </c>
      <c r="B5624">
        <f>4015.70685593209*(3/4)</f>
        <v>3011.7801419490675</v>
      </c>
    </row>
    <row r="5625" spans="1:2" x14ac:dyDescent="0.3">
      <c r="A5625" s="2">
        <v>45892.291666666657</v>
      </c>
      <c r="B5625">
        <f>4353.24667792565*(3/4)</f>
        <v>3264.9350084442362</v>
      </c>
    </row>
    <row r="5626" spans="1:2" x14ac:dyDescent="0.3">
      <c r="A5626" s="2">
        <v>45892.333333333343</v>
      </c>
      <c r="B5626">
        <f>4078.98215678665*(3/4)</f>
        <v>3059.2366175899865</v>
      </c>
    </row>
    <row r="5627" spans="1:2" x14ac:dyDescent="0.3">
      <c r="A5627" s="2">
        <v>45892.375</v>
      </c>
      <c r="B5627">
        <f>4228.04511742262*(3/4)</f>
        <v>3171.0338380669627</v>
      </c>
    </row>
    <row r="5628" spans="1:2" x14ac:dyDescent="0.3">
      <c r="A5628" s="2">
        <v>45892.416666666657</v>
      </c>
      <c r="B5628">
        <f>4434.07078326875*(3/4)</f>
        <v>3325.5530874515644</v>
      </c>
    </row>
    <row r="5629" spans="1:2" x14ac:dyDescent="0.3">
      <c r="A5629" s="2">
        <v>45892.458333333343</v>
      </c>
      <c r="B5629">
        <f>4295.54118093996*(3/4)</f>
        <v>3221.6558857049677</v>
      </c>
    </row>
    <row r="5630" spans="1:2" x14ac:dyDescent="0.3">
      <c r="A5630" s="2">
        <v>45892.5</v>
      </c>
      <c r="B5630">
        <f>4290.15579912273*(3/4)</f>
        <v>3217.61684934205</v>
      </c>
    </row>
    <row r="5631" spans="1:2" x14ac:dyDescent="0.3">
      <c r="A5631" s="2">
        <v>45892.541666666657</v>
      </c>
      <c r="B5631">
        <f>4165.24764558124*(3/4)</f>
        <v>3123.9357341859336</v>
      </c>
    </row>
    <row r="5632" spans="1:2" x14ac:dyDescent="0.3">
      <c r="A5632" s="2">
        <v>45892.583333333343</v>
      </c>
      <c r="B5632">
        <f>3893.42274528708*(3/4)</f>
        <v>2920.0670589653087</v>
      </c>
    </row>
    <row r="5633" spans="1:2" x14ac:dyDescent="0.3">
      <c r="A5633" s="2">
        <v>45892.625</v>
      </c>
      <c r="B5633">
        <f>4252.37671032477*(3/4)</f>
        <v>3189.2825327435758</v>
      </c>
    </row>
    <row r="5634" spans="1:2" x14ac:dyDescent="0.3">
      <c r="A5634" s="2">
        <v>45892.666666666657</v>
      </c>
      <c r="B5634">
        <f>4430.39134589544*(3/4)</f>
        <v>3322.7935094215818</v>
      </c>
    </row>
    <row r="5635" spans="1:2" x14ac:dyDescent="0.3">
      <c r="A5635" s="2">
        <v>45892.708333333343</v>
      </c>
      <c r="B5635">
        <f>4163.58415478553*(3/4)</f>
        <v>3122.6881160891471</v>
      </c>
    </row>
    <row r="5636" spans="1:2" x14ac:dyDescent="0.3">
      <c r="A5636" s="2">
        <v>45892.75</v>
      </c>
      <c r="B5636">
        <f>4447.01348463269*(3/4)</f>
        <v>3335.2601134745182</v>
      </c>
    </row>
    <row r="5637" spans="1:2" x14ac:dyDescent="0.3">
      <c r="A5637" s="2">
        <v>45892.791666666657</v>
      </c>
      <c r="B5637">
        <f>4479.44917456708*(3/4)</f>
        <v>3359.5868809253116</v>
      </c>
    </row>
    <row r="5638" spans="1:2" x14ac:dyDescent="0.3">
      <c r="A5638" s="2">
        <v>45892.833333333343</v>
      </c>
      <c r="B5638">
        <f>4480.88746549244*(3/4)</f>
        <v>3360.6655991193275</v>
      </c>
    </row>
    <row r="5639" spans="1:2" x14ac:dyDescent="0.3">
      <c r="A5639" s="2">
        <v>45892.875</v>
      </c>
      <c r="B5639">
        <f>4199.15056252843*(3/4)</f>
        <v>3149.3629218963242</v>
      </c>
    </row>
    <row r="5640" spans="1:2" x14ac:dyDescent="0.3">
      <c r="A5640" s="2">
        <v>45892.916666666657</v>
      </c>
      <c r="B5640">
        <f>3822.57886479944*(3/4)</f>
        <v>2866.9341485995806</v>
      </c>
    </row>
    <row r="5641" spans="1:2" x14ac:dyDescent="0.3">
      <c r="A5641" s="2">
        <v>45892.958333333343</v>
      </c>
      <c r="B5641">
        <f>4141.31221861349*(3/4)</f>
        <v>3105.9841639601159</v>
      </c>
    </row>
    <row r="5642" spans="1:2" x14ac:dyDescent="0.3">
      <c r="A5642" s="2">
        <v>45893</v>
      </c>
      <c r="B5642">
        <f>3984.99307444514*(3/4)</f>
        <v>2988.7448058338528</v>
      </c>
    </row>
    <row r="5643" spans="1:2" x14ac:dyDescent="0.3">
      <c r="A5643" s="2">
        <v>45893.041666666657</v>
      </c>
      <c r="B5643">
        <f>3882.14464626625*(3/4)</f>
        <v>2911.6084846996864</v>
      </c>
    </row>
    <row r="5644" spans="1:2" x14ac:dyDescent="0.3">
      <c r="A5644" s="2">
        <v>45893.083333333343</v>
      </c>
      <c r="B5644">
        <f>4228.49853918508*(3/4)</f>
        <v>3171.373904388809</v>
      </c>
    </row>
    <row r="5645" spans="1:2" x14ac:dyDescent="0.3">
      <c r="A5645" s="2">
        <v>45893.125</v>
      </c>
      <c r="B5645">
        <f>4278.39168699591*(3/4)</f>
        <v>3208.7937652469318</v>
      </c>
    </row>
    <row r="5646" spans="1:2" x14ac:dyDescent="0.3">
      <c r="A5646" s="2">
        <v>45893.166666666657</v>
      </c>
      <c r="B5646">
        <f>4191.80296691458*(3/4)</f>
        <v>3143.8522251859313</v>
      </c>
    </row>
    <row r="5647" spans="1:2" x14ac:dyDescent="0.3">
      <c r="A5647" s="2">
        <v>45893.208333333343</v>
      </c>
      <c r="B5647">
        <f>4022.69070928358*(3/4)</f>
        <v>3017.0180319626825</v>
      </c>
    </row>
    <row r="5648" spans="1:2" x14ac:dyDescent="0.3">
      <c r="A5648" s="2">
        <v>45893.25</v>
      </c>
      <c r="B5648">
        <f>3867.84594989231*(3/4)</f>
        <v>2900.8844624192311</v>
      </c>
    </row>
    <row r="5649" spans="1:2" x14ac:dyDescent="0.3">
      <c r="A5649" s="2">
        <v>45893.291666666657</v>
      </c>
      <c r="B5649">
        <f>4208.05835961929*(3/4)</f>
        <v>3156.0437697144648</v>
      </c>
    </row>
    <row r="5650" spans="1:2" x14ac:dyDescent="0.3">
      <c r="A5650" s="2">
        <v>45893.333333333343</v>
      </c>
      <c r="B5650">
        <f>3462.76602043875*(3/4)</f>
        <v>2597.0745153290641</v>
      </c>
    </row>
    <row r="5651" spans="1:2" x14ac:dyDescent="0.3">
      <c r="A5651" s="2">
        <v>45893.375</v>
      </c>
      <c r="B5651">
        <f>3534.14424858286*(3/4)</f>
        <v>2650.6081864371458</v>
      </c>
    </row>
    <row r="5652" spans="1:2" x14ac:dyDescent="0.3">
      <c r="A5652" s="2">
        <v>45893.416666666657</v>
      </c>
      <c r="B5652">
        <f>3291.3059425661*(3/4)</f>
        <v>2468.4794569245742</v>
      </c>
    </row>
    <row r="5653" spans="1:2" x14ac:dyDescent="0.3">
      <c r="A5653" s="2">
        <v>45893.458333333343</v>
      </c>
      <c r="B5653">
        <f>3189.70457409815*(3/4)</f>
        <v>2392.2784305736132</v>
      </c>
    </row>
    <row r="5654" spans="1:2" x14ac:dyDescent="0.3">
      <c r="A5654" s="2">
        <v>45893.5</v>
      </c>
      <c r="B5654">
        <f>3669.91109079043*(3/4)</f>
        <v>2752.4333180928238</v>
      </c>
    </row>
    <row r="5655" spans="1:2" x14ac:dyDescent="0.3">
      <c r="A5655" s="2">
        <v>45893.541666666657</v>
      </c>
      <c r="B5655">
        <f>3372.82011222817*(3/4)</f>
        <v>2529.6150841711296</v>
      </c>
    </row>
    <row r="5656" spans="1:2" x14ac:dyDescent="0.3">
      <c r="A5656" s="2">
        <v>45893.583333333343</v>
      </c>
      <c r="B5656">
        <f>2945.5711024693*(3/4)</f>
        <v>2209.1783268519771</v>
      </c>
    </row>
    <row r="5657" spans="1:2" x14ac:dyDescent="0.3">
      <c r="A5657" s="2">
        <v>45893.625</v>
      </c>
      <c r="B5657">
        <f>3335.59922003507*(3/4)</f>
        <v>2501.699415026299</v>
      </c>
    </row>
    <row r="5658" spans="1:2" x14ac:dyDescent="0.3">
      <c r="A5658" s="2">
        <v>45893.666666666657</v>
      </c>
      <c r="B5658">
        <f>3616.05325896485*(3/4)</f>
        <v>2712.0399442236353</v>
      </c>
    </row>
    <row r="5659" spans="1:2" x14ac:dyDescent="0.3">
      <c r="A5659" s="2">
        <v>45893.708333333343</v>
      </c>
      <c r="B5659">
        <f>4376.22086308791*(3/4)</f>
        <v>3282.1656473159337</v>
      </c>
    </row>
    <row r="5660" spans="1:2" x14ac:dyDescent="0.3">
      <c r="A5660" s="2">
        <v>45893.75</v>
      </c>
      <c r="B5660">
        <f>4082.79104896025*(3/4)</f>
        <v>3062.0932867201864</v>
      </c>
    </row>
    <row r="5661" spans="1:2" x14ac:dyDescent="0.3">
      <c r="A5661" s="2">
        <v>45893.791666666657</v>
      </c>
      <c r="B5661">
        <f>4233.24373648629*(3/4)</f>
        <v>3174.932802364714</v>
      </c>
    </row>
    <row r="5662" spans="1:2" x14ac:dyDescent="0.3">
      <c r="A5662" s="2">
        <v>45893.833333333343</v>
      </c>
      <c r="B5662">
        <f>4440.46819665776*(3/4)</f>
        <v>3330.3511474933207</v>
      </c>
    </row>
    <row r="5663" spans="1:2" x14ac:dyDescent="0.3">
      <c r="A5663" s="2">
        <v>45893.875</v>
      </c>
      <c r="B5663">
        <f>4085.12541592082*(3/4)</f>
        <v>3063.8440619406156</v>
      </c>
    </row>
    <row r="5664" spans="1:2" x14ac:dyDescent="0.3">
      <c r="A5664" s="2">
        <v>45893.916666666657</v>
      </c>
      <c r="B5664">
        <f>3963.26757898943*(3/4)</f>
        <v>2972.4506842420687</v>
      </c>
    </row>
    <row r="5665" spans="1:2" x14ac:dyDescent="0.3">
      <c r="A5665" s="2">
        <v>45893.958333333343</v>
      </c>
      <c r="B5665">
        <f>4125.82708794913*(3/4)</f>
        <v>3094.3703159618462</v>
      </c>
    </row>
    <row r="5666" spans="1:2" x14ac:dyDescent="0.3">
      <c r="A5666" s="2">
        <v>45894</v>
      </c>
      <c r="B5666">
        <f>4116.22422478889*(3/4)</f>
        <v>3087.1681685916692</v>
      </c>
    </row>
    <row r="5667" spans="1:2" x14ac:dyDescent="0.3">
      <c r="A5667" s="2">
        <v>45894.041666666657</v>
      </c>
      <c r="B5667">
        <f>3965.74997962493*(3/4)</f>
        <v>2974.3124847186982</v>
      </c>
    </row>
    <row r="5668" spans="1:2" x14ac:dyDescent="0.3">
      <c r="A5668" s="2">
        <v>45894.083333333343</v>
      </c>
      <c r="B5668">
        <f>4031.93105669846*(3/4)</f>
        <v>3023.9482925238449</v>
      </c>
    </row>
    <row r="5669" spans="1:2" x14ac:dyDescent="0.3">
      <c r="A5669" s="2">
        <v>45894.125</v>
      </c>
      <c r="B5669">
        <f>4156.82072545361*(3/4)</f>
        <v>3117.6155440902112</v>
      </c>
    </row>
    <row r="5670" spans="1:2" x14ac:dyDescent="0.3">
      <c r="A5670" s="2">
        <v>45894.166666666657</v>
      </c>
      <c r="B5670">
        <f>4188.87032685076*(3/4)</f>
        <v>3141.652745138068</v>
      </c>
    </row>
    <row r="5671" spans="1:2" x14ac:dyDescent="0.3">
      <c r="A5671" s="2">
        <v>45894.208333333343</v>
      </c>
      <c r="B5671">
        <f>4192.04519490628*(3/4)</f>
        <v>3144.0338961797115</v>
      </c>
    </row>
    <row r="5672" spans="1:2" x14ac:dyDescent="0.3">
      <c r="A5672" s="2">
        <v>45894.25</v>
      </c>
      <c r="B5672">
        <f>4143.09537928133*(3/4)</f>
        <v>3107.3215344609989</v>
      </c>
    </row>
    <row r="5673" spans="1:2" x14ac:dyDescent="0.3">
      <c r="A5673" s="2">
        <v>45894.291666666657</v>
      </c>
      <c r="B5673">
        <f>4510.94816182207*(3/4)</f>
        <v>3383.2111213665521</v>
      </c>
    </row>
    <row r="5674" spans="1:2" x14ac:dyDescent="0.3">
      <c r="A5674" s="2">
        <v>45894.333333333343</v>
      </c>
      <c r="B5674">
        <f>4385.55672586574*(3/4)</f>
        <v>3289.1675443993026</v>
      </c>
    </row>
    <row r="5675" spans="1:2" x14ac:dyDescent="0.3">
      <c r="A5675" s="2">
        <v>45894.375</v>
      </c>
      <c r="B5675">
        <f>4203.84241845696*(3/4)</f>
        <v>3152.8818138427168</v>
      </c>
    </row>
    <row r="5676" spans="1:2" x14ac:dyDescent="0.3">
      <c r="A5676" s="2">
        <v>45894.416666666657</v>
      </c>
      <c r="B5676">
        <f>4386.92293747906*(3/4)</f>
        <v>3290.1922031092963</v>
      </c>
    </row>
    <row r="5677" spans="1:2" x14ac:dyDescent="0.3">
      <c r="A5677" s="2">
        <v>45894.458333333343</v>
      </c>
      <c r="B5677">
        <f>4248.57483941586*(3/4)</f>
        <v>3186.4311295618922</v>
      </c>
    </row>
    <row r="5678" spans="1:2" x14ac:dyDescent="0.3">
      <c r="A5678" s="2">
        <v>45894.5</v>
      </c>
      <c r="B5678">
        <f>4244.63512698323*(3/4)</f>
        <v>3183.4763452374209</v>
      </c>
    </row>
    <row r="5679" spans="1:2" x14ac:dyDescent="0.3">
      <c r="A5679" s="2">
        <v>45894.541666666657</v>
      </c>
      <c r="B5679">
        <f>4111.24428397011*(3/4)</f>
        <v>3083.433212977583</v>
      </c>
    </row>
    <row r="5680" spans="1:2" x14ac:dyDescent="0.3">
      <c r="A5680" s="2">
        <v>45894.583333333343</v>
      </c>
      <c r="B5680">
        <f>4118.56876782538*(3/4)</f>
        <v>3088.9265758690381</v>
      </c>
    </row>
    <row r="5681" spans="1:2" x14ac:dyDescent="0.3">
      <c r="A5681" s="2">
        <v>45894.625</v>
      </c>
      <c r="B5681">
        <f>4190.64171471213*(3/4)</f>
        <v>3142.9812860340999</v>
      </c>
    </row>
    <row r="5682" spans="1:2" x14ac:dyDescent="0.3">
      <c r="A5682" s="2">
        <v>45894.666666666657</v>
      </c>
      <c r="B5682">
        <f>4480.88216681579*(3/4)</f>
        <v>3360.6616251118389</v>
      </c>
    </row>
    <row r="5683" spans="1:2" x14ac:dyDescent="0.3">
      <c r="A5683" s="2">
        <v>45894.708333333343</v>
      </c>
      <c r="B5683">
        <f>4239.15825542917*(3/4)</f>
        <v>3179.3686915718781</v>
      </c>
    </row>
    <row r="5684" spans="1:2" x14ac:dyDescent="0.3">
      <c r="A5684" s="2">
        <v>45894.75</v>
      </c>
      <c r="B5684">
        <f>3980.47447136608*(3/4)</f>
        <v>2985.3558535245597</v>
      </c>
    </row>
    <row r="5685" spans="1:2" x14ac:dyDescent="0.3">
      <c r="A5685" s="2">
        <v>45894.791666666657</v>
      </c>
      <c r="B5685">
        <f>4482.87626379304*(3/4)</f>
        <v>3362.1571978447801</v>
      </c>
    </row>
    <row r="5686" spans="1:2" x14ac:dyDescent="0.3">
      <c r="A5686" s="2">
        <v>45894.833333333343</v>
      </c>
      <c r="B5686">
        <f>4057.14883375353*(3/4)</f>
        <v>3042.861625315149</v>
      </c>
    </row>
    <row r="5687" spans="1:2" x14ac:dyDescent="0.3">
      <c r="A5687" s="2">
        <v>45894.875</v>
      </c>
      <c r="B5687">
        <f>4076.80021420296*(3/4)</f>
        <v>3057.6001606522186</v>
      </c>
    </row>
    <row r="5688" spans="1:2" x14ac:dyDescent="0.3">
      <c r="A5688" s="2">
        <v>45894.916666666657</v>
      </c>
      <c r="B5688">
        <f>3402.49113502063*(3/4)</f>
        <v>2551.8683512654711</v>
      </c>
    </row>
    <row r="5689" spans="1:2" x14ac:dyDescent="0.3">
      <c r="A5689" s="2">
        <v>45894.958333333343</v>
      </c>
      <c r="B5689">
        <f>4258.48619898657*(3/4)</f>
        <v>3193.8646492399271</v>
      </c>
    </row>
    <row r="5690" spans="1:2" x14ac:dyDescent="0.3">
      <c r="A5690" s="2">
        <v>45895</v>
      </c>
      <c r="B5690">
        <f>4407.14563550018*(3/4)</f>
        <v>3305.3592266251335</v>
      </c>
    </row>
    <row r="5691" spans="1:2" x14ac:dyDescent="0.3">
      <c r="A5691" s="2">
        <v>45895.041666666657</v>
      </c>
      <c r="B5691">
        <f>4034.3444246759*(3/4)</f>
        <v>3025.7583185069252</v>
      </c>
    </row>
    <row r="5692" spans="1:2" x14ac:dyDescent="0.3">
      <c r="A5692" s="2">
        <v>45895.083333333343</v>
      </c>
      <c r="B5692">
        <f>4027.06871201596*(3/4)</f>
        <v>3020.3015340119709</v>
      </c>
    </row>
    <row r="5693" spans="1:2" x14ac:dyDescent="0.3">
      <c r="A5693" s="2">
        <v>45895.125</v>
      </c>
      <c r="B5693">
        <f>4172.21551324343*(3/4)</f>
        <v>3129.1616349325745</v>
      </c>
    </row>
    <row r="5694" spans="1:2" x14ac:dyDescent="0.3">
      <c r="A5694" s="2">
        <v>45895.166666666657</v>
      </c>
      <c r="B5694">
        <f>4176.52685752213*(3/4)</f>
        <v>3132.3951431415962</v>
      </c>
    </row>
    <row r="5695" spans="1:2" x14ac:dyDescent="0.3">
      <c r="A5695" s="2">
        <v>45895.208333333343</v>
      </c>
      <c r="B5695">
        <f>4205.2695936297*(3/4)</f>
        <v>3153.9521952222749</v>
      </c>
    </row>
    <row r="5696" spans="1:2" x14ac:dyDescent="0.3">
      <c r="A5696" s="2">
        <v>45895.25</v>
      </c>
      <c r="B5696">
        <f>4049.30416904686*(3/4)</f>
        <v>3036.9781267851436</v>
      </c>
    </row>
    <row r="5697" spans="1:2" x14ac:dyDescent="0.3">
      <c r="A5697" s="2">
        <v>45895.291666666657</v>
      </c>
      <c r="B5697">
        <f>4408.57045948496*(3/4)</f>
        <v>3306.4278446137232</v>
      </c>
    </row>
    <row r="5698" spans="1:2" x14ac:dyDescent="0.3">
      <c r="A5698" s="2">
        <v>45895.333333333343</v>
      </c>
      <c r="B5698">
        <f>3994.50292461316*(3/4)</f>
        <v>2995.877193459869</v>
      </c>
    </row>
    <row r="5699" spans="1:2" x14ac:dyDescent="0.3">
      <c r="A5699" s="2">
        <v>45895.375</v>
      </c>
      <c r="B5699">
        <f>4153.14540771173*(3/4)</f>
        <v>3114.8590557837961</v>
      </c>
    </row>
    <row r="5700" spans="1:2" x14ac:dyDescent="0.3">
      <c r="A5700" s="2">
        <v>45895.416666666657</v>
      </c>
      <c r="B5700">
        <f>4265.98581348286*(3/4)</f>
        <v>3199.4893601121457</v>
      </c>
    </row>
    <row r="5701" spans="1:2" x14ac:dyDescent="0.3">
      <c r="A5701" s="2">
        <v>45895.458333333343</v>
      </c>
      <c r="B5701">
        <f>4091.65230569128*(3/4)</f>
        <v>3068.7392292684572</v>
      </c>
    </row>
    <row r="5702" spans="1:2" x14ac:dyDescent="0.3">
      <c r="A5702" s="2">
        <v>45895.5</v>
      </c>
      <c r="B5702">
        <f>4157.76537503811*(3/4)</f>
        <v>3118.3240312785788</v>
      </c>
    </row>
    <row r="5703" spans="1:2" x14ac:dyDescent="0.3">
      <c r="A5703" s="2">
        <v>45895.541666666657</v>
      </c>
      <c r="B5703">
        <f>4003.24526423227*(3/4)</f>
        <v>3002.4339481742027</v>
      </c>
    </row>
    <row r="5704" spans="1:2" x14ac:dyDescent="0.3">
      <c r="A5704" s="2">
        <v>45895.583333333343</v>
      </c>
      <c r="B5704">
        <f>4052.22873956072*(3/4)</f>
        <v>3039.1715546705414</v>
      </c>
    </row>
    <row r="5705" spans="1:2" x14ac:dyDescent="0.3">
      <c r="A5705" s="2">
        <v>45895.625</v>
      </c>
      <c r="B5705">
        <f>4280.63739872022*(3/4)</f>
        <v>3210.4780490401627</v>
      </c>
    </row>
    <row r="5706" spans="1:2" x14ac:dyDescent="0.3">
      <c r="A5706" s="2">
        <v>45895.666666666657</v>
      </c>
      <c r="B5706">
        <f>4153.56834265963*(3/4)</f>
        <v>3115.1762569947196</v>
      </c>
    </row>
    <row r="5707" spans="1:2" x14ac:dyDescent="0.3">
      <c r="A5707" s="2">
        <v>45895.708333333343</v>
      </c>
      <c r="B5707">
        <f>4081.93001058908*(3/4)</f>
        <v>3061.4475079418107</v>
      </c>
    </row>
    <row r="5708" spans="1:2" x14ac:dyDescent="0.3">
      <c r="A5708" s="2">
        <v>45895.75</v>
      </c>
      <c r="B5708">
        <f>4317.87053830771*(3/4)</f>
        <v>3238.4029037307791</v>
      </c>
    </row>
    <row r="5709" spans="1:2" x14ac:dyDescent="0.3">
      <c r="A5709" s="2">
        <v>45895.791666666657</v>
      </c>
      <c r="B5709">
        <f>4006.46201174612*(3/4)</f>
        <v>3004.8465088095877</v>
      </c>
    </row>
    <row r="5710" spans="1:2" x14ac:dyDescent="0.3">
      <c r="A5710" s="2">
        <v>45895.833333333343</v>
      </c>
      <c r="B5710">
        <f>4114.54002590652*(3/4)</f>
        <v>3085.9050194298925</v>
      </c>
    </row>
    <row r="5711" spans="1:2" x14ac:dyDescent="0.3">
      <c r="A5711" s="2">
        <v>45895.875</v>
      </c>
      <c r="B5711">
        <f>4284.15028008822*(3/4)</f>
        <v>3213.1127100661652</v>
      </c>
    </row>
    <row r="5712" spans="1:2" x14ac:dyDescent="0.3">
      <c r="A5712" s="2">
        <v>45895.916666666657</v>
      </c>
      <c r="B5712">
        <f>3611.70892500491*(3/4)</f>
        <v>2708.7816937536841</v>
      </c>
    </row>
    <row r="5713" spans="1:2" x14ac:dyDescent="0.3">
      <c r="A5713" s="2">
        <v>45895.958333333343</v>
      </c>
      <c r="B5713">
        <f>3912.3791084384*(3/4)</f>
        <v>2934.2843313288031</v>
      </c>
    </row>
    <row r="5714" spans="1:2" x14ac:dyDescent="0.3">
      <c r="A5714" s="2">
        <v>45896</v>
      </c>
      <c r="B5714">
        <f>3838.42164032563*(3/4)</f>
        <v>2878.8162302442202</v>
      </c>
    </row>
    <row r="5715" spans="1:2" x14ac:dyDescent="0.3">
      <c r="A5715" s="2">
        <v>45896.041666666657</v>
      </c>
      <c r="B5715">
        <f>4002.50870452929*(3/4)</f>
        <v>3001.8815283969698</v>
      </c>
    </row>
    <row r="5716" spans="1:2" x14ac:dyDescent="0.3">
      <c r="A5716" s="2">
        <v>45896.083333333343</v>
      </c>
      <c r="B5716">
        <f>3977.76646837818*(3/4)</f>
        <v>2983.324851283639</v>
      </c>
    </row>
    <row r="5717" spans="1:2" x14ac:dyDescent="0.3">
      <c r="A5717" s="2">
        <v>45896.125</v>
      </c>
      <c r="B5717">
        <f>4169.41730843014*(3/4)</f>
        <v>3127.0629813226014</v>
      </c>
    </row>
    <row r="5718" spans="1:2" x14ac:dyDescent="0.3">
      <c r="A5718" s="2">
        <v>45896.166666666657</v>
      </c>
      <c r="B5718">
        <f>4144.47029202305*(3/4)</f>
        <v>3108.3527190172872</v>
      </c>
    </row>
    <row r="5719" spans="1:2" x14ac:dyDescent="0.3">
      <c r="A5719" s="2">
        <v>45896.208333333343</v>
      </c>
      <c r="B5719">
        <f>3903.54051828479*(3/4)</f>
        <v>2927.655388713596</v>
      </c>
    </row>
    <row r="5720" spans="1:2" x14ac:dyDescent="0.3">
      <c r="A5720" s="2">
        <v>45896.25</v>
      </c>
      <c r="B5720">
        <f>4008.02067017084*(3/4)</f>
        <v>3006.0155026281286</v>
      </c>
    </row>
    <row r="5721" spans="1:2" x14ac:dyDescent="0.3">
      <c r="A5721" s="2">
        <v>45896.291666666657</v>
      </c>
      <c r="B5721">
        <f>4176.70058064348*(3/4)</f>
        <v>3132.5254354826111</v>
      </c>
    </row>
    <row r="5722" spans="1:2" x14ac:dyDescent="0.3">
      <c r="A5722" s="2">
        <v>45896.333333333343</v>
      </c>
      <c r="B5722">
        <f>4789.24655757494*(3/4)</f>
        <v>3591.9349181812045</v>
      </c>
    </row>
    <row r="5723" spans="1:2" x14ac:dyDescent="0.3">
      <c r="A5723" s="2">
        <v>45896.375</v>
      </c>
      <c r="B5723">
        <f>4273.62000642458*(3/4)</f>
        <v>3205.2150048184367</v>
      </c>
    </row>
    <row r="5724" spans="1:2" x14ac:dyDescent="0.3">
      <c r="A5724" s="2">
        <v>45896.416666666657</v>
      </c>
      <c r="B5724">
        <f>4300.99015023658*(3/4)</f>
        <v>3225.742612677438</v>
      </c>
    </row>
    <row r="5725" spans="1:2" x14ac:dyDescent="0.3">
      <c r="A5725" s="2">
        <v>45896.458333333343</v>
      </c>
      <c r="B5725">
        <f>4180.18647262145*(3/4)</f>
        <v>3135.1398544660847</v>
      </c>
    </row>
    <row r="5726" spans="1:2" x14ac:dyDescent="0.3">
      <c r="A5726" s="2">
        <v>45896.5</v>
      </c>
      <c r="B5726">
        <f>3839.07190550752*(3/4)</f>
        <v>2879.30392913064</v>
      </c>
    </row>
    <row r="5727" spans="1:2" x14ac:dyDescent="0.3">
      <c r="A5727" s="2">
        <v>45896.541666666657</v>
      </c>
      <c r="B5727">
        <f>4507.76991544807*(3/4)</f>
        <v>3380.8274365860516</v>
      </c>
    </row>
    <row r="5728" spans="1:2" x14ac:dyDescent="0.3">
      <c r="A5728" s="2">
        <v>45896.583333333343</v>
      </c>
      <c r="B5728">
        <f>3943.99009311364*(3/4)</f>
        <v>2957.9925698352331</v>
      </c>
    </row>
    <row r="5729" spans="1:2" x14ac:dyDescent="0.3">
      <c r="A5729" s="2">
        <v>45896.625</v>
      </c>
      <c r="B5729">
        <f>4280.22378694103*(3/4)</f>
        <v>3210.1678402057746</v>
      </c>
    </row>
    <row r="5730" spans="1:2" x14ac:dyDescent="0.3">
      <c r="A5730" s="2">
        <v>45896.666666666657</v>
      </c>
      <c r="B5730">
        <f>4355.18469608228*(3/4)</f>
        <v>3266.3885220617085</v>
      </c>
    </row>
    <row r="5731" spans="1:2" x14ac:dyDescent="0.3">
      <c r="A5731" s="2">
        <v>45896.708333333343</v>
      </c>
      <c r="B5731">
        <f>4485.90585864473*(3/4)</f>
        <v>3364.4293939835443</v>
      </c>
    </row>
    <row r="5732" spans="1:2" x14ac:dyDescent="0.3">
      <c r="A5732" s="2">
        <v>45896.75</v>
      </c>
      <c r="B5732">
        <f>4435.59935825822*(3/4)</f>
        <v>3326.699518693662</v>
      </c>
    </row>
    <row r="5733" spans="1:2" x14ac:dyDescent="0.3">
      <c r="A5733" s="2">
        <v>45896.791666666657</v>
      </c>
      <c r="B5733">
        <f>4464.34121676029*(3/4)</f>
        <v>3348.255912570221</v>
      </c>
    </row>
    <row r="5734" spans="1:2" x14ac:dyDescent="0.3">
      <c r="A5734" s="2">
        <v>45896.833333333343</v>
      </c>
      <c r="B5734">
        <f>4488.40294943237*(3/4)</f>
        <v>3366.302212074278</v>
      </c>
    </row>
    <row r="5735" spans="1:2" x14ac:dyDescent="0.3">
      <c r="A5735" s="2">
        <v>45896.875</v>
      </c>
      <c r="B5735">
        <f>4362.80640679531*(3/4)</f>
        <v>3272.1048050964846</v>
      </c>
    </row>
    <row r="5736" spans="1:2" x14ac:dyDescent="0.3">
      <c r="A5736" s="2">
        <v>45896.916666666657</v>
      </c>
      <c r="B5736">
        <f>3978.97931556595*(3/4)</f>
        <v>2984.2344866744647</v>
      </c>
    </row>
    <row r="5737" spans="1:2" x14ac:dyDescent="0.3">
      <c r="A5737" s="2">
        <v>45896.958333333343</v>
      </c>
      <c r="B5737">
        <f>3912.70105347597*(3/4)</f>
        <v>2934.5257901069776</v>
      </c>
    </row>
    <row r="5738" spans="1:2" x14ac:dyDescent="0.3">
      <c r="A5738" s="2">
        <v>45897</v>
      </c>
      <c r="B5738">
        <f>4380.16334564288*(3/4)</f>
        <v>3285.1225092321592</v>
      </c>
    </row>
    <row r="5739" spans="1:2" x14ac:dyDescent="0.3">
      <c r="A5739" s="2">
        <v>45897.041666666657</v>
      </c>
      <c r="B5739">
        <f>4016.29663991992*(3/4)</f>
        <v>3012.2224799399369</v>
      </c>
    </row>
    <row r="5740" spans="1:2" x14ac:dyDescent="0.3">
      <c r="A5740" s="2">
        <v>45897.083333333343</v>
      </c>
      <c r="B5740">
        <f>4273.71700595126*(3/4)</f>
        <v>3205.2877544634466</v>
      </c>
    </row>
    <row r="5741" spans="1:2" x14ac:dyDescent="0.3">
      <c r="A5741" s="2">
        <v>45897.125</v>
      </c>
      <c r="B5741">
        <f>4215.59944914839*(3/4)</f>
        <v>3161.6995868612903</v>
      </c>
    </row>
    <row r="5742" spans="1:2" x14ac:dyDescent="0.3">
      <c r="A5742" s="2">
        <v>45897.166666666657</v>
      </c>
      <c r="B5742">
        <f>3997.16294173171*(3/4)</f>
        <v>2997.8722062987849</v>
      </c>
    </row>
    <row r="5743" spans="1:2" x14ac:dyDescent="0.3">
      <c r="A5743" s="2">
        <v>45897.208333333343</v>
      </c>
      <c r="B5743">
        <f>4085.2822031092*(3/4)</f>
        <v>3063.9616523319</v>
      </c>
    </row>
    <row r="5744" spans="1:2" x14ac:dyDescent="0.3">
      <c r="A5744" s="2">
        <v>45897.25</v>
      </c>
      <c r="B5744">
        <f>4130.22796735107*(3/4)</f>
        <v>3097.6709755132997</v>
      </c>
    </row>
    <row r="5745" spans="1:2" x14ac:dyDescent="0.3">
      <c r="A5745" s="2">
        <v>45897.291666666657</v>
      </c>
      <c r="B5745">
        <f>4384.25530939936*(3/4)</f>
        <v>3288.1914820495235</v>
      </c>
    </row>
    <row r="5746" spans="1:2" x14ac:dyDescent="0.3">
      <c r="A5746" s="2">
        <v>45897.333333333343</v>
      </c>
      <c r="B5746">
        <f>4184.119066637*(3/4)</f>
        <v>3138.0892999777516</v>
      </c>
    </row>
    <row r="5747" spans="1:2" x14ac:dyDescent="0.3">
      <c r="A5747" s="2">
        <v>45897.375</v>
      </c>
      <c r="B5747">
        <f>4050.37042260504*(3/4)</f>
        <v>3037.7778169537833</v>
      </c>
    </row>
    <row r="5748" spans="1:2" x14ac:dyDescent="0.3">
      <c r="A5748" s="2">
        <v>45897.416666666657</v>
      </c>
      <c r="B5748">
        <f>4271.56524804473*(3/4)</f>
        <v>3203.6739360335487</v>
      </c>
    </row>
    <row r="5749" spans="1:2" x14ac:dyDescent="0.3">
      <c r="A5749" s="2">
        <v>45897.458333333343</v>
      </c>
      <c r="B5749">
        <f>4075.93035760325*(3/4)</f>
        <v>3056.9477682024403</v>
      </c>
    </row>
    <row r="5750" spans="1:2" x14ac:dyDescent="0.3">
      <c r="A5750" s="2">
        <v>45897.5</v>
      </c>
      <c r="B5750">
        <f>3832.37177114948*(3/4)</f>
        <v>2874.2788283621103</v>
      </c>
    </row>
    <row r="5751" spans="1:2" x14ac:dyDescent="0.3">
      <c r="A5751" s="2">
        <v>45897.541666666657</v>
      </c>
      <c r="B5751">
        <f>4109.2011486259*(3/4)</f>
        <v>3081.9008614694239</v>
      </c>
    </row>
    <row r="5752" spans="1:2" x14ac:dyDescent="0.3">
      <c r="A5752" s="2">
        <v>45897.583333333343</v>
      </c>
      <c r="B5752">
        <f>3969.58587181899*(3/4)</f>
        <v>2977.1894038642417</v>
      </c>
    </row>
    <row r="5753" spans="1:2" x14ac:dyDescent="0.3">
      <c r="A5753" s="2">
        <v>45897.625</v>
      </c>
      <c r="B5753">
        <f>4117.37730451963*(3/4)</f>
        <v>3088.0329783897232</v>
      </c>
    </row>
    <row r="5754" spans="1:2" x14ac:dyDescent="0.3">
      <c r="A5754" s="2">
        <v>45897.666666666657</v>
      </c>
      <c r="B5754">
        <f>4016.17025502192*(3/4)</f>
        <v>3012.1276912664403</v>
      </c>
    </row>
    <row r="5755" spans="1:2" x14ac:dyDescent="0.3">
      <c r="A5755" s="2">
        <v>45897.708333333343</v>
      </c>
      <c r="B5755">
        <f>4220.49815067252*(3/4)</f>
        <v>3165.3736130043917</v>
      </c>
    </row>
    <row r="5756" spans="1:2" x14ac:dyDescent="0.3">
      <c r="A5756" s="2">
        <v>45897.75</v>
      </c>
      <c r="B5756">
        <f>4341.84838156916*(3/4)</f>
        <v>3256.3862861768675</v>
      </c>
    </row>
    <row r="5757" spans="1:2" x14ac:dyDescent="0.3">
      <c r="A5757" s="2">
        <v>45897.791666666657</v>
      </c>
      <c r="B5757">
        <f>4139.75911835134*(3/4)</f>
        <v>3104.8193387635047</v>
      </c>
    </row>
    <row r="5758" spans="1:2" x14ac:dyDescent="0.3">
      <c r="A5758" s="2">
        <v>45897.833333333343</v>
      </c>
      <c r="B5758">
        <f>4088.64147196085*(3/4)</f>
        <v>3066.4811039706346</v>
      </c>
    </row>
    <row r="5759" spans="1:2" x14ac:dyDescent="0.3">
      <c r="A5759" s="2">
        <v>45897.875</v>
      </c>
      <c r="B5759">
        <f>4262.31410547273*(3/4)</f>
        <v>3196.7355791045447</v>
      </c>
    </row>
    <row r="5760" spans="1:2" x14ac:dyDescent="0.3">
      <c r="A5760" s="2">
        <v>45897.916666666657</v>
      </c>
      <c r="B5760">
        <f>3788.38401003093*(3/4)</f>
        <v>2841.2880075232006</v>
      </c>
    </row>
    <row r="5761" spans="1:2" x14ac:dyDescent="0.3">
      <c r="A5761" s="2">
        <v>45897.958333333343</v>
      </c>
      <c r="B5761">
        <f>3981.47907229633*(3/4)</f>
        <v>2986.1093042222483</v>
      </c>
    </row>
    <row r="5762" spans="1:2" x14ac:dyDescent="0.3">
      <c r="A5762" s="2">
        <v>45898</v>
      </c>
      <c r="B5762">
        <f>4059.35509322627*(3/4)</f>
        <v>3044.5163199196986</v>
      </c>
    </row>
    <row r="5763" spans="1:2" x14ac:dyDescent="0.3">
      <c r="A5763" s="2">
        <v>45898.041666666657</v>
      </c>
      <c r="B5763">
        <f>4068.67771356085*(3/4)</f>
        <v>3051.5082851706366</v>
      </c>
    </row>
    <row r="5764" spans="1:2" x14ac:dyDescent="0.3">
      <c r="A5764" s="2">
        <v>45898.083333333343</v>
      </c>
      <c r="B5764">
        <f>4310.45406989214*(3/4)</f>
        <v>3232.8405524191048</v>
      </c>
    </row>
    <row r="5765" spans="1:2" x14ac:dyDescent="0.3">
      <c r="A5765" s="2">
        <v>45898.125</v>
      </c>
      <c r="B5765">
        <f>3943.26225315785*(3/4)</f>
        <v>2957.44668986839</v>
      </c>
    </row>
    <row r="5766" spans="1:2" x14ac:dyDescent="0.3">
      <c r="A5766" s="2">
        <v>45898.166666666657</v>
      </c>
      <c r="B5766">
        <f>4467.70531657201*(3/4)</f>
        <v>3350.7789874290092</v>
      </c>
    </row>
    <row r="5767" spans="1:2" x14ac:dyDescent="0.3">
      <c r="A5767" s="2">
        <v>45898.208333333343</v>
      </c>
      <c r="B5767">
        <f>4071.69574887092*(3/4)</f>
        <v>3053.7718116531892</v>
      </c>
    </row>
    <row r="5768" spans="1:2" x14ac:dyDescent="0.3">
      <c r="A5768" s="2">
        <v>45898.25</v>
      </c>
      <c r="B5768">
        <f>3856.14006692472*(3/4)</f>
        <v>2892.1050501935401</v>
      </c>
    </row>
    <row r="5769" spans="1:2" x14ac:dyDescent="0.3">
      <c r="A5769" s="2">
        <v>45898.291666666657</v>
      </c>
      <c r="B5769">
        <f>4366.38877272411*(3/4)</f>
        <v>3274.7915795430831</v>
      </c>
    </row>
    <row r="5770" spans="1:2" x14ac:dyDescent="0.3">
      <c r="A5770" s="2">
        <v>45898.333333333343</v>
      </c>
      <c r="B5770">
        <f>4546.314987853*(3/4)</f>
        <v>3409.7362408897525</v>
      </c>
    </row>
    <row r="5771" spans="1:2" x14ac:dyDescent="0.3">
      <c r="A5771" s="2">
        <v>45898.375</v>
      </c>
      <c r="B5771">
        <f>4469.34515780845*(3/4)</f>
        <v>3352.008868356339</v>
      </c>
    </row>
    <row r="5772" spans="1:2" x14ac:dyDescent="0.3">
      <c r="A5772" s="2">
        <v>45898.416666666657</v>
      </c>
      <c r="B5772">
        <f>4067.74761152653*(3/4)</f>
        <v>3050.8107086448981</v>
      </c>
    </row>
    <row r="5773" spans="1:2" x14ac:dyDescent="0.3">
      <c r="A5773" s="2">
        <v>45898.458333333343</v>
      </c>
      <c r="B5773">
        <f>4131.17338289459*(3/4)</f>
        <v>3098.3800371709422</v>
      </c>
    </row>
    <row r="5774" spans="1:2" x14ac:dyDescent="0.3">
      <c r="A5774" s="2">
        <v>45898.5</v>
      </c>
      <c r="B5774">
        <f>4183.45156840384*(3/4)</f>
        <v>3137.588676302882</v>
      </c>
    </row>
    <row r="5775" spans="1:2" x14ac:dyDescent="0.3">
      <c r="A5775" s="2">
        <v>45898.541666666657</v>
      </c>
      <c r="B5775">
        <f>4360.01774636313*(3/4)</f>
        <v>3270.0133097723437</v>
      </c>
    </row>
    <row r="5776" spans="1:2" x14ac:dyDescent="0.3">
      <c r="A5776" s="2">
        <v>45898.583333333343</v>
      </c>
      <c r="B5776">
        <f>3960.64657674859*(3/4)</f>
        <v>2970.4849325614405</v>
      </c>
    </row>
    <row r="5777" spans="1:2" x14ac:dyDescent="0.3">
      <c r="A5777" s="2">
        <v>45898.625</v>
      </c>
      <c r="B5777">
        <f>4234.86409540481*(3/4)</f>
        <v>3176.148071553609</v>
      </c>
    </row>
    <row r="5778" spans="1:2" x14ac:dyDescent="0.3">
      <c r="A5778" s="2">
        <v>45898.666666666657</v>
      </c>
      <c r="B5778">
        <f>4061.12001061962*(3/4)</f>
        <v>3045.8400079647126</v>
      </c>
    </row>
    <row r="5779" spans="1:2" x14ac:dyDescent="0.3">
      <c r="A5779" s="2">
        <v>45898.708333333343</v>
      </c>
      <c r="B5779">
        <f>4445.64222398049*(3/4)</f>
        <v>3334.2316679853657</v>
      </c>
    </row>
    <row r="5780" spans="1:2" x14ac:dyDescent="0.3">
      <c r="A5780" s="2">
        <v>45898.75</v>
      </c>
      <c r="B5780">
        <f>3929.6306458248*(3/4)</f>
        <v>2947.2229843686023</v>
      </c>
    </row>
    <row r="5781" spans="1:2" x14ac:dyDescent="0.3">
      <c r="A5781" s="2">
        <v>45898.791666666657</v>
      </c>
      <c r="B5781">
        <f>4385.01642169535*(3/4)</f>
        <v>3288.7623162715131</v>
      </c>
    </row>
    <row r="5782" spans="1:2" x14ac:dyDescent="0.3">
      <c r="A5782" s="2">
        <v>45898.833333333343</v>
      </c>
      <c r="B5782">
        <f>4440.485120794*(3/4)</f>
        <v>3330.3638405955016</v>
      </c>
    </row>
    <row r="5783" spans="1:2" x14ac:dyDescent="0.3">
      <c r="A5783" s="2">
        <v>45898.875</v>
      </c>
      <c r="B5783">
        <f>4099.12338765806*(3/4)</f>
        <v>3074.342540743547</v>
      </c>
    </row>
    <row r="5784" spans="1:2" x14ac:dyDescent="0.3">
      <c r="A5784" s="2">
        <v>45898.916666666657</v>
      </c>
      <c r="B5784">
        <f>3879.062165147*(3/4)</f>
        <v>2909.2966238602462</v>
      </c>
    </row>
    <row r="5785" spans="1:2" x14ac:dyDescent="0.3">
      <c r="A5785" s="2">
        <v>45898.958333333343</v>
      </c>
      <c r="B5785">
        <f>4032.0213983008*(3/4)</f>
        <v>3024.0160487255985</v>
      </c>
    </row>
    <row r="5786" spans="1:2" x14ac:dyDescent="0.3">
      <c r="A5786" s="2">
        <v>45899</v>
      </c>
      <c r="B5786">
        <f>4261.29722649919*(3/4)</f>
        <v>3195.9729198743935</v>
      </c>
    </row>
    <row r="5787" spans="1:2" x14ac:dyDescent="0.3">
      <c r="A5787" s="2">
        <v>45899.041666666657</v>
      </c>
      <c r="B5787">
        <f>3950.43606527597*(3/4)</f>
        <v>2962.8270489569791</v>
      </c>
    </row>
    <row r="5788" spans="1:2" x14ac:dyDescent="0.3">
      <c r="A5788" s="2">
        <v>45899.083333333343</v>
      </c>
      <c r="B5788">
        <f>4083.01744164237*(3/4)</f>
        <v>3062.2630812317739</v>
      </c>
    </row>
    <row r="5789" spans="1:2" x14ac:dyDescent="0.3">
      <c r="A5789" s="2">
        <v>45899.125</v>
      </c>
      <c r="B5789">
        <f>4402.70993355424*(3/4)</f>
        <v>3302.0324501656769</v>
      </c>
    </row>
    <row r="5790" spans="1:2" x14ac:dyDescent="0.3">
      <c r="A5790" s="2">
        <v>45899.166666666657</v>
      </c>
      <c r="B5790">
        <f>4116.72608128856*(3/4)</f>
        <v>3087.5445609664193</v>
      </c>
    </row>
    <row r="5791" spans="1:2" x14ac:dyDescent="0.3">
      <c r="A5791" s="2">
        <v>45899.208333333343</v>
      </c>
      <c r="B5791">
        <f>4239.86731720169*(3/4)</f>
        <v>3179.9004879012687</v>
      </c>
    </row>
    <row r="5792" spans="1:2" x14ac:dyDescent="0.3">
      <c r="A5792" s="2">
        <v>45899.25</v>
      </c>
      <c r="B5792">
        <f>3844.72641453157*(3/4)</f>
        <v>2883.5448108986798</v>
      </c>
    </row>
    <row r="5793" spans="1:2" x14ac:dyDescent="0.3">
      <c r="A5793" s="2">
        <v>45899.291666666657</v>
      </c>
      <c r="B5793">
        <f>3978.13097328865*(3/4)</f>
        <v>2983.5982299664861</v>
      </c>
    </row>
    <row r="5794" spans="1:2" x14ac:dyDescent="0.3">
      <c r="A5794" s="2">
        <v>45899.333333333343</v>
      </c>
      <c r="B5794">
        <f>4606.80502409992*(3/4)</f>
        <v>3455.1037680749387</v>
      </c>
    </row>
    <row r="5795" spans="1:2" x14ac:dyDescent="0.3">
      <c r="A5795" s="2">
        <v>45899.375</v>
      </c>
      <c r="B5795">
        <f>4101.82181521327*(3/4)</f>
        <v>3076.3663614099542</v>
      </c>
    </row>
    <row r="5796" spans="1:2" x14ac:dyDescent="0.3">
      <c r="A5796" s="2">
        <v>45899.416666666657</v>
      </c>
      <c r="B5796">
        <f>4034.15023454539*(3/4)</f>
        <v>3025.612675909043</v>
      </c>
    </row>
    <row r="5797" spans="1:2" x14ac:dyDescent="0.3">
      <c r="A5797" s="2">
        <v>45899.458333333343</v>
      </c>
      <c r="B5797">
        <f>4129.50066567806*(3/4)</f>
        <v>3097.1254992585468</v>
      </c>
    </row>
    <row r="5798" spans="1:2" x14ac:dyDescent="0.3">
      <c r="A5798" s="2">
        <v>45899.5</v>
      </c>
      <c r="B5798">
        <f>4561.31617293289*(3/4)</f>
        <v>3420.9871296996657</v>
      </c>
    </row>
    <row r="5799" spans="1:2" x14ac:dyDescent="0.3">
      <c r="A5799" s="2">
        <v>45899.541666666657</v>
      </c>
      <c r="B5799">
        <f>4031.47729680402*(3/4)</f>
        <v>3023.607972603018</v>
      </c>
    </row>
    <row r="5800" spans="1:2" x14ac:dyDescent="0.3">
      <c r="A5800" s="2">
        <v>45899.583333333343</v>
      </c>
      <c r="B5800">
        <f>4092.80058028851*(3/4)</f>
        <v>3069.6004352163818</v>
      </c>
    </row>
    <row r="5801" spans="1:2" x14ac:dyDescent="0.3">
      <c r="A5801" s="2">
        <v>45899.625</v>
      </c>
      <c r="B5801">
        <f>4332.34168391493*(3/4)</f>
        <v>3249.256262936201</v>
      </c>
    </row>
    <row r="5802" spans="1:2" x14ac:dyDescent="0.3">
      <c r="A5802" s="2">
        <v>45899.666666666657</v>
      </c>
      <c r="B5802">
        <f>4531.78308618763*(3/4)</f>
        <v>3398.8373146407248</v>
      </c>
    </row>
    <row r="5803" spans="1:2" x14ac:dyDescent="0.3">
      <c r="A5803" s="2">
        <v>45899.708333333343</v>
      </c>
      <c r="B5803">
        <f>4249.61207252951*(3/4)</f>
        <v>3187.2090543971353</v>
      </c>
    </row>
    <row r="5804" spans="1:2" x14ac:dyDescent="0.3">
      <c r="A5804" s="2">
        <v>45899.75</v>
      </c>
      <c r="B5804">
        <f>4427.29767712118*(3/4)</f>
        <v>3320.4732578408821</v>
      </c>
    </row>
    <row r="5805" spans="1:2" x14ac:dyDescent="0.3">
      <c r="A5805" s="2">
        <v>45899.791666666657</v>
      </c>
      <c r="B5805">
        <f>4415.32804794223*(3/4)</f>
        <v>3311.4960359566694</v>
      </c>
    </row>
    <row r="5806" spans="1:2" x14ac:dyDescent="0.3">
      <c r="A5806" s="2">
        <v>45899.833333333343</v>
      </c>
      <c r="B5806">
        <f>4036.41815373052*(3/4)</f>
        <v>3027.3136152978886</v>
      </c>
    </row>
    <row r="5807" spans="1:2" x14ac:dyDescent="0.3">
      <c r="A5807" s="2">
        <v>45899.875</v>
      </c>
      <c r="B5807">
        <f>4089.59178700113*(3/4)</f>
        <v>3067.1938402508513</v>
      </c>
    </row>
    <row r="5808" spans="1:2" x14ac:dyDescent="0.3">
      <c r="A5808" s="2">
        <v>45899.916666666657</v>
      </c>
      <c r="B5808">
        <f>3849.18313975781*(3/4)</f>
        <v>2886.8873548183592</v>
      </c>
    </row>
    <row r="5809" spans="1:2" x14ac:dyDescent="0.3">
      <c r="A5809" s="2">
        <v>45899.958333333343</v>
      </c>
      <c r="B5809">
        <f>4226.4984257241*(3/4)</f>
        <v>3169.8738192930778</v>
      </c>
    </row>
    <row r="5810" spans="1:2" x14ac:dyDescent="0.3">
      <c r="A5810" s="2">
        <v>45900</v>
      </c>
      <c r="B5810">
        <f>4103.73823838281*(3/4)</f>
        <v>3077.8036787871074</v>
      </c>
    </row>
    <row r="5811" spans="1:2" x14ac:dyDescent="0.3">
      <c r="A5811" s="2">
        <v>45900.041666666657</v>
      </c>
      <c r="B5811">
        <f>4083.17659072092*(3/4)</f>
        <v>3062.3824430406876</v>
      </c>
    </row>
    <row r="5812" spans="1:2" x14ac:dyDescent="0.3">
      <c r="A5812" s="2">
        <v>45900.083333333343</v>
      </c>
      <c r="B5812">
        <f>3903.78647004581*(3/4)</f>
        <v>2927.8398525343546</v>
      </c>
    </row>
    <row r="5813" spans="1:2" x14ac:dyDescent="0.3">
      <c r="A5813" s="2">
        <v>45900.125</v>
      </c>
      <c r="B5813">
        <f>4067.79080418246*(3/4)</f>
        <v>3050.8431031368473</v>
      </c>
    </row>
    <row r="5814" spans="1:2" x14ac:dyDescent="0.3">
      <c r="A5814" s="2">
        <v>45900.166666666657</v>
      </c>
      <c r="B5814">
        <f>4232.33892047774*(3/4)</f>
        <v>3174.2541903583019</v>
      </c>
    </row>
    <row r="5815" spans="1:2" x14ac:dyDescent="0.3">
      <c r="A5815" s="2">
        <v>45900.208333333343</v>
      </c>
      <c r="B5815">
        <f>4125.48331040024*(3/4)</f>
        <v>3094.1124828001821</v>
      </c>
    </row>
    <row r="5816" spans="1:2" x14ac:dyDescent="0.3">
      <c r="A5816" s="2">
        <v>45900.25</v>
      </c>
      <c r="B5816">
        <f>4064.15037451787*(3/4)</f>
        <v>3048.1127808884053</v>
      </c>
    </row>
    <row r="5817" spans="1:2" x14ac:dyDescent="0.3">
      <c r="A5817" s="2">
        <v>45900.291666666657</v>
      </c>
      <c r="B5817">
        <f>4194.55118554631*(3/4)</f>
        <v>3145.9133891597321</v>
      </c>
    </row>
    <row r="5818" spans="1:2" x14ac:dyDescent="0.3">
      <c r="A5818" s="2">
        <v>45900.333333333343</v>
      </c>
      <c r="B5818">
        <f>3377.20249859458*(3/4)</f>
        <v>2532.9018739459334</v>
      </c>
    </row>
    <row r="5819" spans="1:2" x14ac:dyDescent="0.3">
      <c r="A5819" s="2">
        <v>45900.375</v>
      </c>
      <c r="B5819">
        <f>3541.81986524378*(3/4)</f>
        <v>2656.3648989328326</v>
      </c>
    </row>
    <row r="5820" spans="1:2" x14ac:dyDescent="0.3">
      <c r="A5820" s="2">
        <v>45900.416666666657</v>
      </c>
      <c r="B5820">
        <f>3425.8224300609*(3/4)</f>
        <v>2569.3668225456736</v>
      </c>
    </row>
    <row r="5821" spans="1:2" x14ac:dyDescent="0.3">
      <c r="A5821" s="2">
        <v>45900.458333333343</v>
      </c>
      <c r="B5821">
        <f>3445.27007450004*(3/4)</f>
        <v>2583.952555875032</v>
      </c>
    </row>
    <row r="5822" spans="1:2" x14ac:dyDescent="0.3">
      <c r="A5822" s="2">
        <v>45900.5</v>
      </c>
      <c r="B5822">
        <f>3300.1853329001*(3/4)</f>
        <v>2475.1389996750781</v>
      </c>
    </row>
    <row r="5823" spans="1:2" x14ac:dyDescent="0.3">
      <c r="A5823" s="2">
        <v>45900.541666666657</v>
      </c>
      <c r="B5823">
        <f>3545.94421296543*(3/4)</f>
        <v>2659.4581597240754</v>
      </c>
    </row>
    <row r="5824" spans="1:2" x14ac:dyDescent="0.3">
      <c r="A5824" s="2">
        <v>45900.583333333343</v>
      </c>
      <c r="B5824">
        <f>3124.18136887613*(3/4)</f>
        <v>2343.1360266571</v>
      </c>
    </row>
    <row r="5825" spans="1:2" x14ac:dyDescent="0.3">
      <c r="A5825" s="2">
        <v>45900.625</v>
      </c>
      <c r="B5825">
        <f>3406.16205411575*(3/4)</f>
        <v>2554.6215405868124</v>
      </c>
    </row>
    <row r="5826" spans="1:2" x14ac:dyDescent="0.3">
      <c r="A5826" s="2">
        <v>45900.666666666657</v>
      </c>
      <c r="B5826">
        <f>3394.93728214352*(3/4)</f>
        <v>2546.2029616076393</v>
      </c>
    </row>
    <row r="5827" spans="1:2" x14ac:dyDescent="0.3">
      <c r="A5827" s="2">
        <v>45900.708333333343</v>
      </c>
      <c r="B5827">
        <f>4201.20793951536*(3/4)</f>
        <v>3150.9059546365215</v>
      </c>
    </row>
    <row r="5828" spans="1:2" x14ac:dyDescent="0.3">
      <c r="A5828" s="2">
        <v>45900.75</v>
      </c>
      <c r="B5828">
        <f>4111.47888785605*(3/4)</f>
        <v>3083.609165892035</v>
      </c>
    </row>
    <row r="5829" spans="1:2" x14ac:dyDescent="0.3">
      <c r="A5829" s="2">
        <v>45900.791666666657</v>
      </c>
      <c r="B5829">
        <f>4112.27083308067*(3/4)</f>
        <v>3084.2031248105045</v>
      </c>
    </row>
    <row r="5830" spans="1:2" x14ac:dyDescent="0.3">
      <c r="A5830" s="2">
        <v>45900.833333333343</v>
      </c>
      <c r="B5830">
        <f>4114.17687415883*(3/4)</f>
        <v>3085.6326556191225</v>
      </c>
    </row>
    <row r="5831" spans="1:2" x14ac:dyDescent="0.3">
      <c r="A5831" s="2">
        <v>45900.875</v>
      </c>
      <c r="B5831">
        <f>4241.01879544469*(3/4)</f>
        <v>3180.764096583518</v>
      </c>
    </row>
    <row r="5832" spans="1:2" x14ac:dyDescent="0.3">
      <c r="A5832" s="2">
        <v>45900.916666666657</v>
      </c>
      <c r="B5832">
        <f>3968.30067306804*(3/4)</f>
        <v>2976.2255048010293</v>
      </c>
    </row>
    <row r="5833" spans="1:2" x14ac:dyDescent="0.3">
      <c r="A5833" s="2">
        <v>45900.958333333343</v>
      </c>
      <c r="B5833">
        <f>3924.29969150411*(3/4)</f>
        <v>2943.2247686280853</v>
      </c>
    </row>
    <row r="5834" spans="1:2" x14ac:dyDescent="0.3">
      <c r="A5834" s="2">
        <v>45901</v>
      </c>
      <c r="B5834">
        <f>4236.84097594748*(3/4)</f>
        <v>3177.6307319606112</v>
      </c>
    </row>
    <row r="5835" spans="1:2" x14ac:dyDescent="0.3">
      <c r="A5835" s="2">
        <v>45901.041666666657</v>
      </c>
      <c r="B5835">
        <f>4070.14099137021*(3/4)</f>
        <v>3052.6057435276607</v>
      </c>
    </row>
    <row r="5836" spans="1:2" x14ac:dyDescent="0.3">
      <c r="A5836" s="2">
        <v>45901.083333333343</v>
      </c>
      <c r="B5836">
        <f>3954.38657752947*(3/4)</f>
        <v>2965.7899331471026</v>
      </c>
    </row>
    <row r="5837" spans="1:2" x14ac:dyDescent="0.3">
      <c r="A5837" s="2">
        <v>45901.125</v>
      </c>
      <c r="B5837">
        <f>3838.54024471218*(3/4)</f>
        <v>2878.905183534132</v>
      </c>
    </row>
    <row r="5838" spans="1:2" x14ac:dyDescent="0.3">
      <c r="A5838" s="2">
        <v>45901.166666666657</v>
      </c>
      <c r="B5838">
        <f>3609.91053749098*(3/4)</f>
        <v>2707.4329031182351</v>
      </c>
    </row>
    <row r="5839" spans="1:2" x14ac:dyDescent="0.3">
      <c r="A5839" s="2">
        <v>45901.208333333343</v>
      </c>
      <c r="B5839">
        <f>3897.35831107924*(3/4)</f>
        <v>2923.0187333094323</v>
      </c>
    </row>
    <row r="5840" spans="1:2" x14ac:dyDescent="0.3">
      <c r="A5840" s="2">
        <v>45901.25</v>
      </c>
      <c r="B5840">
        <f>3763.47816364943*(3/4)</f>
        <v>2822.6086227370743</v>
      </c>
    </row>
    <row r="5841" spans="1:2" x14ac:dyDescent="0.3">
      <c r="A5841" s="2">
        <v>45901.291666666657</v>
      </c>
      <c r="B5841">
        <f>3823.07371173073*(3/4)</f>
        <v>2867.3052837980458</v>
      </c>
    </row>
    <row r="5842" spans="1:2" x14ac:dyDescent="0.3">
      <c r="A5842" s="2">
        <v>45901.333333333343</v>
      </c>
      <c r="B5842">
        <f>4325.77789239938*(3/4)</f>
        <v>3244.3334192995353</v>
      </c>
    </row>
    <row r="5843" spans="1:2" x14ac:dyDescent="0.3">
      <c r="A5843" s="2">
        <v>45901.375</v>
      </c>
      <c r="B5843">
        <f>3118.58128204776*(3/4)</f>
        <v>2338.9359615358235</v>
      </c>
    </row>
    <row r="5844" spans="1:2" x14ac:dyDescent="0.3">
      <c r="A5844" s="2">
        <v>45901.416666666657</v>
      </c>
      <c r="B5844">
        <f>3910.12834703555*(3/4)</f>
        <v>2932.5962602766649</v>
      </c>
    </row>
    <row r="5845" spans="1:2" x14ac:dyDescent="0.3">
      <c r="A5845" s="2">
        <v>45901.458333333343</v>
      </c>
      <c r="B5845">
        <f>3946.7486012591*(3/4)</f>
        <v>2960.0614509443271</v>
      </c>
    </row>
    <row r="5846" spans="1:2" x14ac:dyDescent="0.3">
      <c r="A5846" s="2">
        <v>45901.5</v>
      </c>
      <c r="B5846">
        <f>3941.48391640218*(3/4)</f>
        <v>2956.1129373016342</v>
      </c>
    </row>
    <row r="5847" spans="1:2" x14ac:dyDescent="0.3">
      <c r="A5847" s="2">
        <v>45901.541666666657</v>
      </c>
      <c r="B5847">
        <f>4077.74328234182*(3/4)</f>
        <v>3058.307461756362</v>
      </c>
    </row>
    <row r="5848" spans="1:2" x14ac:dyDescent="0.3">
      <c r="A5848" s="2">
        <v>45901.583333333343</v>
      </c>
      <c r="B5848">
        <f>3776.42436471223*(3/4)</f>
        <v>2832.3182735341752</v>
      </c>
    </row>
    <row r="5849" spans="1:2" x14ac:dyDescent="0.3">
      <c r="A5849" s="2">
        <v>45901.625</v>
      </c>
      <c r="B5849">
        <f>4138.80342073843*(3/4)</f>
        <v>3104.1025655538224</v>
      </c>
    </row>
    <row r="5850" spans="1:2" x14ac:dyDescent="0.3">
      <c r="A5850" s="2">
        <v>45901.666666666657</v>
      </c>
      <c r="B5850">
        <f>4133.84182465551*(3/4)</f>
        <v>3100.3813684916295</v>
      </c>
    </row>
    <row r="5851" spans="1:2" x14ac:dyDescent="0.3">
      <c r="A5851" s="2">
        <v>45901.708333333343</v>
      </c>
      <c r="B5851">
        <f>3866.86563822985*(3/4)</f>
        <v>2900.1492286723874</v>
      </c>
    </row>
    <row r="5852" spans="1:2" x14ac:dyDescent="0.3">
      <c r="A5852" s="2">
        <v>45901.75</v>
      </c>
      <c r="B5852">
        <f>3886.65046090236*(3/4)</f>
        <v>2914.9878456767706</v>
      </c>
    </row>
    <row r="5853" spans="1:2" x14ac:dyDescent="0.3">
      <c r="A5853" s="2">
        <v>45901.791666666657</v>
      </c>
      <c r="B5853">
        <f>3910.56879314683*(3/4)</f>
        <v>2932.9265948601201</v>
      </c>
    </row>
    <row r="5854" spans="1:2" x14ac:dyDescent="0.3">
      <c r="A5854" s="2">
        <v>45901.833333333343</v>
      </c>
      <c r="B5854">
        <f>4010.85681502641*(3/4)</f>
        <v>3008.1426112698073</v>
      </c>
    </row>
    <row r="5855" spans="1:2" x14ac:dyDescent="0.3">
      <c r="A5855" s="2">
        <v>45901.875</v>
      </c>
      <c r="B5855">
        <f>4201.67013075814*(3/4)</f>
        <v>3151.2525980686078</v>
      </c>
    </row>
    <row r="5856" spans="1:2" x14ac:dyDescent="0.3">
      <c r="A5856" s="2">
        <v>45901.916666666657</v>
      </c>
      <c r="B5856">
        <f>3852.81033446687*(3/4)</f>
        <v>2889.6077508501512</v>
      </c>
    </row>
    <row r="5857" spans="1:2" x14ac:dyDescent="0.3">
      <c r="A5857" s="2">
        <v>45901.958333333343</v>
      </c>
      <c r="B5857">
        <f>4056.50113376866*(3/4)</f>
        <v>3042.3758503264921</v>
      </c>
    </row>
    <row r="5858" spans="1:2" x14ac:dyDescent="0.3">
      <c r="A5858" s="2">
        <v>45902</v>
      </c>
      <c r="B5858">
        <f>4104.00476170912*(3/4)</f>
        <v>3078.0035712818403</v>
      </c>
    </row>
    <row r="5859" spans="1:2" x14ac:dyDescent="0.3">
      <c r="A5859" s="2">
        <v>45902.041666666657</v>
      </c>
      <c r="B5859">
        <f>3947.95636104188*(3/4)</f>
        <v>2960.9672707814125</v>
      </c>
    </row>
    <row r="5860" spans="1:2" x14ac:dyDescent="0.3">
      <c r="A5860" s="2">
        <v>45902.083333333343</v>
      </c>
      <c r="B5860">
        <f>3814.707164217*(3/4)</f>
        <v>2861.0303731627519</v>
      </c>
    </row>
    <row r="5861" spans="1:2" x14ac:dyDescent="0.3">
      <c r="A5861" s="2">
        <v>45902.125</v>
      </c>
      <c r="B5861">
        <f>3839.74997009576*(3/4)</f>
        <v>2879.8124775718179</v>
      </c>
    </row>
    <row r="5862" spans="1:2" x14ac:dyDescent="0.3">
      <c r="A5862" s="2">
        <v>45902.166666666657</v>
      </c>
      <c r="B5862">
        <f>3932.12007081663*(3/4)</f>
        <v>2949.0900531124726</v>
      </c>
    </row>
    <row r="5863" spans="1:2" x14ac:dyDescent="0.3">
      <c r="A5863" s="2">
        <v>45902.208333333343</v>
      </c>
      <c r="B5863">
        <f>4067.72845651429*(3/4)</f>
        <v>3050.7963423857168</v>
      </c>
    </row>
    <row r="5864" spans="1:2" x14ac:dyDescent="0.3">
      <c r="A5864" s="2">
        <v>45902.25</v>
      </c>
      <c r="B5864">
        <f>3637.48961945966*(3/4)</f>
        <v>2728.1172145947444</v>
      </c>
    </row>
    <row r="5865" spans="1:2" x14ac:dyDescent="0.3">
      <c r="A5865" s="2">
        <v>45902.291666666657</v>
      </c>
      <c r="B5865">
        <f>3947.36863754068*(3/4)</f>
        <v>2960.5264781555102</v>
      </c>
    </row>
    <row r="5866" spans="1:2" x14ac:dyDescent="0.3">
      <c r="A5866" s="2">
        <v>45902.333333333343</v>
      </c>
      <c r="B5866">
        <f>4221.77052715934*(3/4)</f>
        <v>3166.327895369509</v>
      </c>
    </row>
    <row r="5867" spans="1:2" x14ac:dyDescent="0.3">
      <c r="A5867" s="2">
        <v>45902.375</v>
      </c>
      <c r="B5867">
        <f>4153.81001807297*(3/4)</f>
        <v>3115.3575135547308</v>
      </c>
    </row>
    <row r="5868" spans="1:2" x14ac:dyDescent="0.3">
      <c r="A5868" s="2">
        <v>45902.416666666657</v>
      </c>
      <c r="B5868">
        <f>3878.94417831074*(3/4)</f>
        <v>2909.2081337330542</v>
      </c>
    </row>
    <row r="5869" spans="1:2" x14ac:dyDescent="0.3">
      <c r="A5869" s="2">
        <v>45902.458333333343</v>
      </c>
      <c r="B5869">
        <f>4158.24654421669*(3/4)</f>
        <v>3118.6849081625164</v>
      </c>
    </row>
    <row r="5870" spans="1:2" x14ac:dyDescent="0.3">
      <c r="A5870" s="2">
        <v>45902.5</v>
      </c>
      <c r="B5870">
        <f>4233.88941995183*(3/4)</f>
        <v>3175.4170649638754</v>
      </c>
    </row>
    <row r="5871" spans="1:2" x14ac:dyDescent="0.3">
      <c r="A5871" s="2">
        <v>45902.541666666657</v>
      </c>
      <c r="B5871">
        <f>3893.84045043072*(3/4)</f>
        <v>2920.3803378230432</v>
      </c>
    </row>
    <row r="5872" spans="1:2" x14ac:dyDescent="0.3">
      <c r="A5872" s="2">
        <v>45902.583333333343</v>
      </c>
      <c r="B5872">
        <f>3834.49757823675*(3/4)</f>
        <v>2875.8731836775619</v>
      </c>
    </row>
    <row r="5873" spans="1:2" x14ac:dyDescent="0.3">
      <c r="A5873" s="2">
        <v>45902.625</v>
      </c>
      <c r="B5873">
        <f>4124.94922850729*(3/4)</f>
        <v>3093.7119213804708</v>
      </c>
    </row>
    <row r="5874" spans="1:2" x14ac:dyDescent="0.3">
      <c r="A5874" s="2">
        <v>45902.666666666657</v>
      </c>
      <c r="B5874">
        <f>4103.04757257366*(3/4)</f>
        <v>3077.285679430242</v>
      </c>
    </row>
    <row r="5875" spans="1:2" x14ac:dyDescent="0.3">
      <c r="A5875" s="2">
        <v>45902.708333333343</v>
      </c>
      <c r="B5875">
        <f>3980.10668315137*(3/4)</f>
        <v>2985.0800123635245</v>
      </c>
    </row>
    <row r="5876" spans="1:2" x14ac:dyDescent="0.3">
      <c r="A5876" s="2">
        <v>45902.75</v>
      </c>
      <c r="B5876">
        <f>4220.43590110927*(3/4)</f>
        <v>3165.3269258319542</v>
      </c>
    </row>
    <row r="5877" spans="1:2" x14ac:dyDescent="0.3">
      <c r="A5877" s="2">
        <v>45902.791666666657</v>
      </c>
      <c r="B5877">
        <f>3757.96173519221*(3/4)</f>
        <v>2818.4713013941591</v>
      </c>
    </row>
    <row r="5878" spans="1:2" x14ac:dyDescent="0.3">
      <c r="A5878" s="2">
        <v>45902.833333333343</v>
      </c>
      <c r="B5878">
        <f>4241.71673285009*(3/4)</f>
        <v>3181.28754963757</v>
      </c>
    </row>
    <row r="5879" spans="1:2" x14ac:dyDescent="0.3">
      <c r="A5879" s="2">
        <v>45902.875</v>
      </c>
      <c r="B5879">
        <f>4165.10451729992*(3/4)</f>
        <v>3123.8283879749374</v>
      </c>
    </row>
    <row r="5880" spans="1:2" x14ac:dyDescent="0.3">
      <c r="A5880" s="2">
        <v>45902.916666666657</v>
      </c>
      <c r="B5880">
        <f>3533.49802914947*(3/4)</f>
        <v>2650.1235218621055</v>
      </c>
    </row>
    <row r="5881" spans="1:2" x14ac:dyDescent="0.3">
      <c r="A5881" s="2">
        <v>45902.958333333343</v>
      </c>
      <c r="B5881">
        <f>3961.49101990216*(3/4)</f>
        <v>2971.1182649266216</v>
      </c>
    </row>
    <row r="5882" spans="1:2" x14ac:dyDescent="0.3">
      <c r="A5882" s="2">
        <v>45903</v>
      </c>
      <c r="B5882">
        <f>4193.68791436096*(3/4)</f>
        <v>3145.265935770723</v>
      </c>
    </row>
    <row r="5883" spans="1:2" x14ac:dyDescent="0.3">
      <c r="A5883" s="2">
        <v>45903.041666666657</v>
      </c>
      <c r="B5883">
        <f>3882.95541762317*(3/4)</f>
        <v>2912.2165632173806</v>
      </c>
    </row>
    <row r="5884" spans="1:2" x14ac:dyDescent="0.3">
      <c r="A5884" s="2">
        <v>45903.083333333343</v>
      </c>
      <c r="B5884">
        <f>3791.84967501408*(3/4)</f>
        <v>2843.8872562605598</v>
      </c>
    </row>
    <row r="5885" spans="1:2" x14ac:dyDescent="0.3">
      <c r="A5885" s="2">
        <v>45903.125</v>
      </c>
      <c r="B5885">
        <f>3933.68582260709*(3/4)</f>
        <v>2950.2643669553213</v>
      </c>
    </row>
    <row r="5886" spans="1:2" x14ac:dyDescent="0.3">
      <c r="A5886" s="2">
        <v>45903.166666666657</v>
      </c>
      <c r="B5886">
        <f>4145.16586702568*(3/4)</f>
        <v>3108.8744002692615</v>
      </c>
    </row>
    <row r="5887" spans="1:2" x14ac:dyDescent="0.3">
      <c r="A5887" s="2">
        <v>45903.208333333343</v>
      </c>
      <c r="B5887">
        <f>3826.86093285706*(3/4)</f>
        <v>2870.145699642796</v>
      </c>
    </row>
    <row r="5888" spans="1:2" x14ac:dyDescent="0.3">
      <c r="A5888" s="2">
        <v>45903.25</v>
      </c>
      <c r="B5888">
        <f>3818.16125002697*(3/4)</f>
        <v>2863.6209375202284</v>
      </c>
    </row>
    <row r="5889" spans="1:2" x14ac:dyDescent="0.3">
      <c r="A5889" s="2">
        <v>45903.291666666657</v>
      </c>
      <c r="B5889">
        <f>4138.43258371375*(3/4)</f>
        <v>3103.8244377853161</v>
      </c>
    </row>
    <row r="5890" spans="1:2" x14ac:dyDescent="0.3">
      <c r="A5890" s="2">
        <v>45903.333333333343</v>
      </c>
      <c r="B5890">
        <f>4025.98697822472*(3/4)</f>
        <v>3019.4902336685363</v>
      </c>
    </row>
    <row r="5891" spans="1:2" x14ac:dyDescent="0.3">
      <c r="A5891" s="2">
        <v>45903.375</v>
      </c>
      <c r="B5891">
        <f>4268.91979074809*(3/4)</f>
        <v>3201.68984306107</v>
      </c>
    </row>
    <row r="5892" spans="1:2" x14ac:dyDescent="0.3">
      <c r="A5892" s="2">
        <v>45903.416666666657</v>
      </c>
      <c r="B5892">
        <f>4257.41537496239*(3/4)</f>
        <v>3193.0615312217942</v>
      </c>
    </row>
    <row r="5893" spans="1:2" x14ac:dyDescent="0.3">
      <c r="A5893" s="2">
        <v>45903.458333333343</v>
      </c>
      <c r="B5893">
        <f>4019.53360266202*(3/4)</f>
        <v>3014.6502019965187</v>
      </c>
    </row>
    <row r="5894" spans="1:2" x14ac:dyDescent="0.3">
      <c r="A5894" s="2">
        <v>45903.5</v>
      </c>
      <c r="B5894">
        <f>4161.61801402178*(3/4)</f>
        <v>3121.2135105163325</v>
      </c>
    </row>
    <row r="5895" spans="1:2" x14ac:dyDescent="0.3">
      <c r="A5895" s="2">
        <v>45903.541666666657</v>
      </c>
      <c r="B5895">
        <f>4023.8475968699*(3/4)</f>
        <v>3017.8856976524276</v>
      </c>
    </row>
    <row r="5896" spans="1:2" x14ac:dyDescent="0.3">
      <c r="A5896" s="2">
        <v>45903.583333333343</v>
      </c>
      <c r="B5896">
        <f>3806.2444444569*(3/4)</f>
        <v>2854.683333342678</v>
      </c>
    </row>
    <row r="5897" spans="1:2" x14ac:dyDescent="0.3">
      <c r="A5897" s="2">
        <v>45903.625</v>
      </c>
      <c r="B5897">
        <f>4066.57901316378*(3/4)</f>
        <v>3049.9342598728349</v>
      </c>
    </row>
    <row r="5898" spans="1:2" x14ac:dyDescent="0.3">
      <c r="A5898" s="2">
        <v>45903.666666666657</v>
      </c>
      <c r="B5898">
        <f>3967.33953274624*(3/4)</f>
        <v>2975.5046495596807</v>
      </c>
    </row>
    <row r="5899" spans="1:2" x14ac:dyDescent="0.3">
      <c r="A5899" s="2">
        <v>45903.708333333343</v>
      </c>
      <c r="B5899">
        <f>3871.46874702648*(3/4)</f>
        <v>2903.6015602698617</v>
      </c>
    </row>
    <row r="5900" spans="1:2" x14ac:dyDescent="0.3">
      <c r="A5900" s="2">
        <v>45903.75</v>
      </c>
      <c r="B5900">
        <f>4055.54388460332*(3/4)</f>
        <v>3041.6579134524927</v>
      </c>
    </row>
    <row r="5901" spans="1:2" x14ac:dyDescent="0.3">
      <c r="A5901" s="2">
        <v>45903.791666666657</v>
      </c>
      <c r="B5901">
        <f>4125.62357598235*(3/4)</f>
        <v>3094.21768198676</v>
      </c>
    </row>
    <row r="5902" spans="1:2" x14ac:dyDescent="0.3">
      <c r="A5902" s="2">
        <v>45903.833333333343</v>
      </c>
      <c r="B5902">
        <f>3762.80384247371*(3/4)</f>
        <v>2822.1028818552859</v>
      </c>
    </row>
    <row r="5903" spans="1:2" x14ac:dyDescent="0.3">
      <c r="A5903" s="2">
        <v>45903.875</v>
      </c>
      <c r="B5903">
        <f>4030.66753712265*(3/4)</f>
        <v>3023.0006528419899</v>
      </c>
    </row>
    <row r="5904" spans="1:2" x14ac:dyDescent="0.3">
      <c r="A5904" s="2">
        <v>45903.916666666657</v>
      </c>
      <c r="B5904">
        <f>3858.01750737121*(3/4)</f>
        <v>2893.5131305284112</v>
      </c>
    </row>
    <row r="5905" spans="1:2" x14ac:dyDescent="0.3">
      <c r="A5905" s="2">
        <v>45903.958333333343</v>
      </c>
      <c r="B5905">
        <f>3704.85815766929*(3/4)</f>
        <v>2778.643618251971</v>
      </c>
    </row>
    <row r="5906" spans="1:2" x14ac:dyDescent="0.3">
      <c r="A5906" s="2">
        <v>45904</v>
      </c>
      <c r="B5906">
        <f>3712.76475188433*(3/4)</f>
        <v>2784.5735639132454</v>
      </c>
    </row>
    <row r="5907" spans="1:2" x14ac:dyDescent="0.3">
      <c r="A5907" s="2">
        <v>45904.041666666657</v>
      </c>
      <c r="B5907">
        <f>4042.41528544128*(3/4)</f>
        <v>3031.8114640809631</v>
      </c>
    </row>
    <row r="5908" spans="1:2" x14ac:dyDescent="0.3">
      <c r="A5908" s="2">
        <v>45904.083333333343</v>
      </c>
      <c r="B5908">
        <f>4204.26086773012*(3/4)</f>
        <v>3153.1956507975883</v>
      </c>
    </row>
    <row r="5909" spans="1:2" x14ac:dyDescent="0.3">
      <c r="A5909" s="2">
        <v>45904.125</v>
      </c>
      <c r="B5909">
        <f>3794.42516076588*(3/4)</f>
        <v>2845.8188705744087</v>
      </c>
    </row>
    <row r="5910" spans="1:2" x14ac:dyDescent="0.3">
      <c r="A5910" s="2">
        <v>45904.166666666657</v>
      </c>
      <c r="B5910">
        <f>4214.60279640342*(3/4)</f>
        <v>3160.9520973025628</v>
      </c>
    </row>
    <row r="5911" spans="1:2" x14ac:dyDescent="0.3">
      <c r="A5911" s="2">
        <v>45904.208333333343</v>
      </c>
      <c r="B5911">
        <f>3720.24962763502*(3/4)</f>
        <v>2790.1872207262686</v>
      </c>
    </row>
    <row r="5912" spans="1:2" x14ac:dyDescent="0.3">
      <c r="A5912" s="2">
        <v>45904.25</v>
      </c>
      <c r="B5912">
        <f>3808.67438322728*(3/4)</f>
        <v>2856.5057874204563</v>
      </c>
    </row>
    <row r="5913" spans="1:2" x14ac:dyDescent="0.3">
      <c r="A5913" s="2">
        <v>45904.291666666657</v>
      </c>
      <c r="B5913">
        <f>3983.40906897869*(3/4)</f>
        <v>2987.5568017340174</v>
      </c>
    </row>
    <row r="5914" spans="1:2" x14ac:dyDescent="0.3">
      <c r="A5914" s="2">
        <v>45904.333333333343</v>
      </c>
      <c r="B5914">
        <f>4035.55015926456*(3/4)</f>
        <v>3026.6626194484161</v>
      </c>
    </row>
    <row r="5915" spans="1:2" x14ac:dyDescent="0.3">
      <c r="A5915" s="2">
        <v>45904.375</v>
      </c>
      <c r="B5915">
        <f>4134.60478572422*(3/4)</f>
        <v>3100.9535892931635</v>
      </c>
    </row>
    <row r="5916" spans="1:2" x14ac:dyDescent="0.3">
      <c r="A5916" s="2">
        <v>45904.416666666657</v>
      </c>
      <c r="B5916">
        <f>3766.28869754541*(3/4)</f>
        <v>2824.7165231590598</v>
      </c>
    </row>
    <row r="5917" spans="1:2" x14ac:dyDescent="0.3">
      <c r="A5917" s="2">
        <v>45904.458333333343</v>
      </c>
      <c r="B5917">
        <f>4114.60879556994*(3/4)</f>
        <v>3085.9565966774526</v>
      </c>
    </row>
    <row r="5918" spans="1:2" x14ac:dyDescent="0.3">
      <c r="A5918" s="2">
        <v>45904.5</v>
      </c>
      <c r="B5918">
        <f>4133.76343495908*(3/4)</f>
        <v>3100.3225762193088</v>
      </c>
    </row>
    <row r="5919" spans="1:2" x14ac:dyDescent="0.3">
      <c r="A5919" s="2">
        <v>45904.541666666657</v>
      </c>
      <c r="B5919">
        <f>3919.58295531542*(3/4)</f>
        <v>2939.6872164865686</v>
      </c>
    </row>
    <row r="5920" spans="1:2" x14ac:dyDescent="0.3">
      <c r="A5920" s="2">
        <v>45904.583333333343</v>
      </c>
      <c r="B5920">
        <f>3711.52578278017*(3/4)</f>
        <v>2783.6443370851289</v>
      </c>
    </row>
    <row r="5921" spans="1:2" x14ac:dyDescent="0.3">
      <c r="A5921" s="2">
        <v>45904.625</v>
      </c>
      <c r="B5921">
        <f>3983.01983794359*(3/4)</f>
        <v>2987.2648784576895</v>
      </c>
    </row>
    <row r="5922" spans="1:2" x14ac:dyDescent="0.3">
      <c r="A5922" s="2">
        <v>45904.666666666657</v>
      </c>
      <c r="B5922">
        <f>3991.80141351449*(3/4)</f>
        <v>2993.8510601358694</v>
      </c>
    </row>
    <row r="5923" spans="1:2" x14ac:dyDescent="0.3">
      <c r="A5923" s="2">
        <v>45904.708333333343</v>
      </c>
      <c r="B5923">
        <f>3907.47920270371*(3/4)</f>
        <v>2930.6094020277801</v>
      </c>
    </row>
    <row r="5924" spans="1:2" x14ac:dyDescent="0.3">
      <c r="A5924" s="2">
        <v>45904.75</v>
      </c>
      <c r="B5924">
        <f>3995.02517912998*(3/4)</f>
        <v>2996.2688843474857</v>
      </c>
    </row>
    <row r="5925" spans="1:2" x14ac:dyDescent="0.3">
      <c r="A5925" s="2">
        <v>45904.791666666657</v>
      </c>
      <c r="B5925">
        <f>4225.54137944771*(3/4)</f>
        <v>3169.1560345857797</v>
      </c>
    </row>
    <row r="5926" spans="1:2" x14ac:dyDescent="0.3">
      <c r="A5926" s="2">
        <v>45904.833333333343</v>
      </c>
      <c r="B5926">
        <f>4325.5153128576*(3/4)</f>
        <v>3244.136484643197</v>
      </c>
    </row>
    <row r="5927" spans="1:2" x14ac:dyDescent="0.3">
      <c r="A5927" s="2">
        <v>45904.875</v>
      </c>
      <c r="B5927">
        <f>3840.26262669362*(3/4)</f>
        <v>2880.1969700202117</v>
      </c>
    </row>
    <row r="5928" spans="1:2" x14ac:dyDescent="0.3">
      <c r="A5928" s="2">
        <v>45904.916666666657</v>
      </c>
      <c r="B5928">
        <f>3913.25340448102*(3/4)</f>
        <v>2934.9400533607618</v>
      </c>
    </row>
    <row r="5929" spans="1:2" x14ac:dyDescent="0.3">
      <c r="A5929" s="2">
        <v>45904.958333333343</v>
      </c>
      <c r="B5929">
        <f>3905.93259817234*(3/4)</f>
        <v>2929.4494486292542</v>
      </c>
    </row>
    <row r="5930" spans="1:2" x14ac:dyDescent="0.3">
      <c r="A5930" s="2">
        <v>45905</v>
      </c>
      <c r="B5930">
        <f>3965.34791102498*(3/4)</f>
        <v>2974.010933268738</v>
      </c>
    </row>
    <row r="5931" spans="1:2" x14ac:dyDescent="0.3">
      <c r="A5931" s="2">
        <v>45905.041666666657</v>
      </c>
      <c r="B5931">
        <f>4122.54735916611*(3/4)</f>
        <v>3091.9105193745836</v>
      </c>
    </row>
    <row r="5932" spans="1:2" x14ac:dyDescent="0.3">
      <c r="A5932" s="2">
        <v>45905.083333333343</v>
      </c>
      <c r="B5932">
        <f>3833.48516091843*(3/4)</f>
        <v>2875.1138706888255</v>
      </c>
    </row>
    <row r="5933" spans="1:2" x14ac:dyDescent="0.3">
      <c r="A5933" s="2">
        <v>45905.125</v>
      </c>
      <c r="B5933">
        <f>3927.00474770291*(3/4)</f>
        <v>2945.2535607771824</v>
      </c>
    </row>
    <row r="5934" spans="1:2" x14ac:dyDescent="0.3">
      <c r="A5934" s="2">
        <v>45905.166666666657</v>
      </c>
      <c r="B5934">
        <f>3994.16504016574*(3/4)</f>
        <v>2995.6237801243042</v>
      </c>
    </row>
    <row r="5935" spans="1:2" x14ac:dyDescent="0.3">
      <c r="A5935" s="2">
        <v>45905.208333333343</v>
      </c>
      <c r="B5935">
        <f>3683.81015501105*(3/4)</f>
        <v>2762.8576162582881</v>
      </c>
    </row>
    <row r="5936" spans="1:2" x14ac:dyDescent="0.3">
      <c r="A5936" s="2">
        <v>45905.25</v>
      </c>
      <c r="B5936">
        <f>3846.10614738258*(3/4)</f>
        <v>2884.5796105369382</v>
      </c>
    </row>
    <row r="5937" spans="1:2" x14ac:dyDescent="0.3">
      <c r="A5937" s="2">
        <v>45905.291666666657</v>
      </c>
      <c r="B5937">
        <f>4067.09617880949*(3/4)</f>
        <v>3050.3221341071144</v>
      </c>
    </row>
    <row r="5938" spans="1:2" x14ac:dyDescent="0.3">
      <c r="A5938" s="2">
        <v>45905.333333333343</v>
      </c>
      <c r="B5938">
        <f>3926.74558858932*(3/4)</f>
        <v>2945.0591914419906</v>
      </c>
    </row>
    <row r="5939" spans="1:2" x14ac:dyDescent="0.3">
      <c r="A5939" s="2">
        <v>45905.375</v>
      </c>
      <c r="B5939">
        <f>3887.59597742796*(3/4)</f>
        <v>2915.6969830709677</v>
      </c>
    </row>
    <row r="5940" spans="1:2" x14ac:dyDescent="0.3">
      <c r="A5940" s="2">
        <v>45905.416666666657</v>
      </c>
      <c r="B5940">
        <f>4288.80633341563*(3/4)</f>
        <v>3216.6047500617233</v>
      </c>
    </row>
    <row r="5941" spans="1:2" x14ac:dyDescent="0.3">
      <c r="A5941" s="2">
        <v>45905.458333333343</v>
      </c>
      <c r="B5941">
        <f>3981.93900533819*(3/4)</f>
        <v>2986.4542540036432</v>
      </c>
    </row>
    <row r="5942" spans="1:2" x14ac:dyDescent="0.3">
      <c r="A5942" s="2">
        <v>45905.5</v>
      </c>
      <c r="B5942">
        <f>4085.01154821894*(3/4)</f>
        <v>3063.7586611642027</v>
      </c>
    </row>
    <row r="5943" spans="1:2" x14ac:dyDescent="0.3">
      <c r="A5943" s="2">
        <v>45905.541666666657</v>
      </c>
      <c r="B5943">
        <f>4260.3194544938*(3/4)</f>
        <v>3195.2395908703493</v>
      </c>
    </row>
    <row r="5944" spans="1:2" x14ac:dyDescent="0.3">
      <c r="A5944" s="2">
        <v>45905.583333333343</v>
      </c>
      <c r="B5944">
        <f>3995.37778824244*(3/4)</f>
        <v>2996.533341181831</v>
      </c>
    </row>
    <row r="5945" spans="1:2" x14ac:dyDescent="0.3">
      <c r="A5945" s="2">
        <v>45905.625</v>
      </c>
      <c r="B5945">
        <f>4230.76456238537*(3/4)</f>
        <v>3173.0734217890304</v>
      </c>
    </row>
    <row r="5946" spans="1:2" x14ac:dyDescent="0.3">
      <c r="A5946" s="2">
        <v>45905.666666666657</v>
      </c>
      <c r="B5946">
        <f>3926.48331844183*(3/4)</f>
        <v>2944.8624888313752</v>
      </c>
    </row>
    <row r="5947" spans="1:2" x14ac:dyDescent="0.3">
      <c r="A5947" s="2">
        <v>45905.708333333343</v>
      </c>
      <c r="B5947">
        <f>3899.03965465752*(3/4)</f>
        <v>2924.2797409931418</v>
      </c>
    </row>
    <row r="5948" spans="1:2" x14ac:dyDescent="0.3">
      <c r="A5948" s="2">
        <v>45905.75</v>
      </c>
      <c r="B5948">
        <f>4081.80480902727*(3/4)</f>
        <v>3061.3536067704531</v>
      </c>
    </row>
    <row r="5949" spans="1:2" x14ac:dyDescent="0.3">
      <c r="A5949" s="2">
        <v>45905.791666666657</v>
      </c>
      <c r="B5949">
        <f>4110.17648600959*(3/4)</f>
        <v>3082.6323645071907</v>
      </c>
    </row>
    <row r="5950" spans="1:2" x14ac:dyDescent="0.3">
      <c r="A5950" s="2">
        <v>45905.833333333343</v>
      </c>
      <c r="B5950">
        <f>4002.5046898633*(3/4)</f>
        <v>3001.8785173974748</v>
      </c>
    </row>
    <row r="5951" spans="1:2" x14ac:dyDescent="0.3">
      <c r="A5951" s="2">
        <v>45905.875</v>
      </c>
      <c r="B5951">
        <f>4014.96606442703*(3/4)</f>
        <v>3011.2245483202696</v>
      </c>
    </row>
    <row r="5952" spans="1:2" x14ac:dyDescent="0.3">
      <c r="A5952" s="2">
        <v>45905.916666666657</v>
      </c>
      <c r="B5952">
        <f>3764.45270883285*(3/4)</f>
        <v>2823.3395316246338</v>
      </c>
    </row>
    <row r="5953" spans="1:2" x14ac:dyDescent="0.3">
      <c r="A5953" s="2">
        <v>45905.958333333343</v>
      </c>
      <c r="B5953">
        <f>4078.63216567376*(3/4)</f>
        <v>3058.9741242553223</v>
      </c>
    </row>
    <row r="5954" spans="1:2" x14ac:dyDescent="0.3">
      <c r="A5954" s="2">
        <v>45906</v>
      </c>
      <c r="B5954">
        <f>4053.00317943147*(3/4)</f>
        <v>3039.7523845736014</v>
      </c>
    </row>
    <row r="5955" spans="1:2" x14ac:dyDescent="0.3">
      <c r="A5955" s="2">
        <v>45906.041666666657</v>
      </c>
      <c r="B5955">
        <f>3980.41841334929*(3/4)</f>
        <v>2985.3138100119677</v>
      </c>
    </row>
    <row r="5956" spans="1:2" x14ac:dyDescent="0.3">
      <c r="A5956" s="2">
        <v>45906.083333333343</v>
      </c>
      <c r="B5956">
        <f>3878.99201083921*(3/4)</f>
        <v>2909.2440081294112</v>
      </c>
    </row>
    <row r="5957" spans="1:2" x14ac:dyDescent="0.3">
      <c r="A5957" s="2">
        <v>45906.125</v>
      </c>
      <c r="B5957">
        <f>4071.71277537145*(3/4)</f>
        <v>3053.7845815285905</v>
      </c>
    </row>
    <row r="5958" spans="1:2" x14ac:dyDescent="0.3">
      <c r="A5958" s="2">
        <v>45906.166666666657</v>
      </c>
      <c r="B5958">
        <f>3729.59428388122*(3/4)</f>
        <v>2797.1957129109187</v>
      </c>
    </row>
    <row r="5959" spans="1:2" x14ac:dyDescent="0.3">
      <c r="A5959" s="2">
        <v>45906.208333333343</v>
      </c>
      <c r="B5959">
        <f>3829.47120788945*(3/4)</f>
        <v>2872.1034059170875</v>
      </c>
    </row>
    <row r="5960" spans="1:2" x14ac:dyDescent="0.3">
      <c r="A5960" s="2">
        <v>45906.25</v>
      </c>
      <c r="B5960">
        <f>3983.70433838803*(3/4)</f>
        <v>2987.7782537910202</v>
      </c>
    </row>
    <row r="5961" spans="1:2" x14ac:dyDescent="0.3">
      <c r="A5961" s="2">
        <v>45906.291666666657</v>
      </c>
      <c r="B5961">
        <f>4092.64370488884*(3/4)</f>
        <v>3069.4827786666265</v>
      </c>
    </row>
    <row r="5962" spans="1:2" x14ac:dyDescent="0.3">
      <c r="A5962" s="2">
        <v>45906.333333333343</v>
      </c>
      <c r="B5962">
        <f>4178.35927676154*(3/4)</f>
        <v>3133.7694575711585</v>
      </c>
    </row>
    <row r="5963" spans="1:2" x14ac:dyDescent="0.3">
      <c r="A5963" s="2">
        <v>45906.375</v>
      </c>
      <c r="B5963">
        <f>4021.89697861514*(3/4)</f>
        <v>3016.4227339613522</v>
      </c>
    </row>
    <row r="5964" spans="1:2" x14ac:dyDescent="0.3">
      <c r="A5964" s="2">
        <v>45906.416666666657</v>
      </c>
      <c r="B5964">
        <f>4134.02864511147*(3/4)</f>
        <v>3100.5214838335987</v>
      </c>
    </row>
    <row r="5965" spans="1:2" x14ac:dyDescent="0.3">
      <c r="A5965" s="2">
        <v>45906.458333333343</v>
      </c>
      <c r="B5965">
        <f>4037.37348899969*(3/4)</f>
        <v>3028.030116749766</v>
      </c>
    </row>
    <row r="5966" spans="1:2" x14ac:dyDescent="0.3">
      <c r="A5966" s="2">
        <v>45906.5</v>
      </c>
      <c r="B5966">
        <f>4232.04304826488*(3/4)</f>
        <v>3174.0322861986579</v>
      </c>
    </row>
    <row r="5967" spans="1:2" x14ac:dyDescent="0.3">
      <c r="A5967" s="2">
        <v>45906.541666666657</v>
      </c>
      <c r="B5967">
        <f>4141.46647237161*(3/4)</f>
        <v>3106.0998542787083</v>
      </c>
    </row>
    <row r="5968" spans="1:2" x14ac:dyDescent="0.3">
      <c r="A5968" s="2">
        <v>45906.583333333343</v>
      </c>
      <c r="B5968">
        <f>3718.07778868463*(3/4)</f>
        <v>2788.5583415134693</v>
      </c>
    </row>
    <row r="5969" spans="1:2" x14ac:dyDescent="0.3">
      <c r="A5969" s="2">
        <v>45906.625</v>
      </c>
      <c r="B5969">
        <f>4049.56442240275*(3/4)</f>
        <v>3037.1733168020637</v>
      </c>
    </row>
    <row r="5970" spans="1:2" x14ac:dyDescent="0.3">
      <c r="A5970" s="2">
        <v>45906.666666666657</v>
      </c>
      <c r="B5970">
        <f>4368.34490105248*(3/4)</f>
        <v>3276.2586757893632</v>
      </c>
    </row>
    <row r="5971" spans="1:2" x14ac:dyDescent="0.3">
      <c r="A5971" s="2">
        <v>45906.708333333343</v>
      </c>
      <c r="B5971">
        <f>4210.1411046407*(3/4)</f>
        <v>3157.6058284805276</v>
      </c>
    </row>
    <row r="5972" spans="1:2" x14ac:dyDescent="0.3">
      <c r="A5972" s="2">
        <v>45906.75</v>
      </c>
      <c r="B5972">
        <f>3137.93757572347*(3/4)</f>
        <v>2353.4531817925995</v>
      </c>
    </row>
    <row r="5973" spans="1:2" x14ac:dyDescent="0.3">
      <c r="A5973" s="2">
        <v>45906.791666666657</v>
      </c>
      <c r="B5973">
        <f>3928.32140207208*(3/4)</f>
        <v>2946.2410515540591</v>
      </c>
    </row>
    <row r="5974" spans="1:2" x14ac:dyDescent="0.3">
      <c r="A5974" s="2">
        <v>45906.833333333343</v>
      </c>
      <c r="B5974">
        <f>4024.10044096191*(3/4)</f>
        <v>3018.075330721435</v>
      </c>
    </row>
    <row r="5975" spans="1:2" x14ac:dyDescent="0.3">
      <c r="A5975" s="2">
        <v>45906.875</v>
      </c>
      <c r="B5975">
        <f>4243.68346614168*(3/4)</f>
        <v>3182.7625996062607</v>
      </c>
    </row>
    <row r="5976" spans="1:2" x14ac:dyDescent="0.3">
      <c r="A5976" s="2">
        <v>45906.916666666657</v>
      </c>
      <c r="B5976">
        <f>3610.94348208111*(3/4)</f>
        <v>2708.2076115608302</v>
      </c>
    </row>
    <row r="5977" spans="1:2" x14ac:dyDescent="0.3">
      <c r="A5977" s="2">
        <v>45906.958333333343</v>
      </c>
      <c r="B5977">
        <f>3805.66706137637*(3/4)</f>
        <v>2854.2502960322763</v>
      </c>
    </row>
    <row r="5978" spans="1:2" x14ac:dyDescent="0.3">
      <c r="A5978" s="2">
        <v>45907</v>
      </c>
      <c r="B5978">
        <f>4372.12586767163*(3/4)</f>
        <v>3279.0944007537223</v>
      </c>
    </row>
    <row r="5979" spans="1:2" x14ac:dyDescent="0.3">
      <c r="A5979" s="2">
        <v>45907.041666666657</v>
      </c>
      <c r="B5979">
        <f>3704.54711066114*(3/4)</f>
        <v>2778.4103329958534</v>
      </c>
    </row>
    <row r="5980" spans="1:2" x14ac:dyDescent="0.3">
      <c r="A5980" s="2">
        <v>45907.083333333343</v>
      </c>
      <c r="B5980">
        <f>3693.47637409639*(3/4)</f>
        <v>2770.1072805722906</v>
      </c>
    </row>
    <row r="5981" spans="1:2" x14ac:dyDescent="0.3">
      <c r="A5981" s="2">
        <v>45907.125</v>
      </c>
      <c r="B5981">
        <f>3938.95898545891*(3/4)</f>
        <v>2954.2192390941796</v>
      </c>
    </row>
    <row r="5982" spans="1:2" x14ac:dyDescent="0.3">
      <c r="A5982" s="2">
        <v>45907.166666666657</v>
      </c>
      <c r="B5982">
        <f>3762.28005850139*(3/4)</f>
        <v>2821.710043876044</v>
      </c>
    </row>
    <row r="5983" spans="1:2" x14ac:dyDescent="0.3">
      <c r="A5983" s="2">
        <v>45907.208333333343</v>
      </c>
      <c r="B5983">
        <f>3970.37845036789*(3/4)</f>
        <v>2977.7838377759203</v>
      </c>
    </row>
    <row r="5984" spans="1:2" x14ac:dyDescent="0.3">
      <c r="A5984" s="2">
        <v>45907.25</v>
      </c>
      <c r="B5984">
        <f>3674.16928834244*(3/4)</f>
        <v>2755.6269662568338</v>
      </c>
    </row>
    <row r="5985" spans="1:2" x14ac:dyDescent="0.3">
      <c r="A5985" s="2">
        <v>45907.291666666657</v>
      </c>
      <c r="B5985">
        <f>3888.74323034711*(3/4)</f>
        <v>2916.5574227603292</v>
      </c>
    </row>
    <row r="5986" spans="1:2" x14ac:dyDescent="0.3">
      <c r="A5986" s="2">
        <v>45907.333333333343</v>
      </c>
      <c r="B5986">
        <f>3434.50721844357*(3/4)</f>
        <v>2575.8804138326773</v>
      </c>
    </row>
    <row r="5987" spans="1:2" x14ac:dyDescent="0.3">
      <c r="A5987" s="2">
        <v>45907.375</v>
      </c>
      <c r="B5987">
        <f>3527.77857117032*(3/4)</f>
        <v>2645.8339283777377</v>
      </c>
    </row>
    <row r="5988" spans="1:2" x14ac:dyDescent="0.3">
      <c r="A5988" s="2">
        <v>45907.416666666657</v>
      </c>
      <c r="B5988">
        <f>3417.67722651741*(3/4)</f>
        <v>2563.2579198880612</v>
      </c>
    </row>
    <row r="5989" spans="1:2" x14ac:dyDescent="0.3">
      <c r="A5989" s="2">
        <v>45907.458333333343</v>
      </c>
      <c r="B5989">
        <f>3167.17077670356*(3/4)</f>
        <v>2375.3780825276663</v>
      </c>
    </row>
    <row r="5990" spans="1:2" x14ac:dyDescent="0.3">
      <c r="A5990" s="2">
        <v>45907.5</v>
      </c>
      <c r="B5990">
        <f>2959.76312831079*(3/4)</f>
        <v>2219.8223462330911</v>
      </c>
    </row>
    <row r="5991" spans="1:2" x14ac:dyDescent="0.3">
      <c r="A5991" s="2">
        <v>45907.541666666657</v>
      </c>
      <c r="B5991">
        <f>3454.22358250062*(3/4)</f>
        <v>2590.6676868754644</v>
      </c>
    </row>
    <row r="5992" spans="1:2" x14ac:dyDescent="0.3">
      <c r="A5992" s="2">
        <v>45907.583333333343</v>
      </c>
      <c r="B5992">
        <f>3082.58147339353*(3/4)</f>
        <v>2311.9361050451507</v>
      </c>
    </row>
    <row r="5993" spans="1:2" x14ac:dyDescent="0.3">
      <c r="A5993" s="2">
        <v>45907.625</v>
      </c>
      <c r="B5993">
        <f>3216.51775771579*(3/4)</f>
        <v>2412.3883182868453</v>
      </c>
    </row>
    <row r="5994" spans="1:2" x14ac:dyDescent="0.3">
      <c r="A5994" s="2">
        <v>45907.666666666657</v>
      </c>
      <c r="B5994">
        <f>3258.29539012841*(3/4)</f>
        <v>2443.7215425963045</v>
      </c>
    </row>
    <row r="5995" spans="1:2" x14ac:dyDescent="0.3">
      <c r="A5995" s="2">
        <v>45907.708333333343</v>
      </c>
      <c r="B5995">
        <f>4177.60213728432*(3/4)</f>
        <v>3133.2016029632396</v>
      </c>
    </row>
    <row r="5996" spans="1:2" x14ac:dyDescent="0.3">
      <c r="A5996" s="2">
        <v>45907.75</v>
      </c>
      <c r="B5996">
        <f>4053.95802341974*(3/4)</f>
        <v>3040.4685175648019</v>
      </c>
    </row>
    <row r="5997" spans="1:2" x14ac:dyDescent="0.3">
      <c r="A5997" s="2">
        <v>45907.791666666657</v>
      </c>
      <c r="B5997">
        <f>4053.44857367135*(3/4)</f>
        <v>3040.0864302535101</v>
      </c>
    </row>
    <row r="5998" spans="1:2" x14ac:dyDescent="0.3">
      <c r="A5998" s="2">
        <v>45907.833333333343</v>
      </c>
      <c r="B5998">
        <f>4255.29242998388*(3/4)</f>
        <v>3191.4693224879111</v>
      </c>
    </row>
    <row r="5999" spans="1:2" x14ac:dyDescent="0.3">
      <c r="A5999" s="2">
        <v>45907.875</v>
      </c>
      <c r="B5999">
        <f>3846.58616475668*(3/4)</f>
        <v>2884.9396235675104</v>
      </c>
    </row>
    <row r="6000" spans="1:2" x14ac:dyDescent="0.3">
      <c r="A6000" s="2">
        <v>45907.916666666657</v>
      </c>
      <c r="B6000">
        <f>3635.33840517573*(3/4)</f>
        <v>2726.5038038818011</v>
      </c>
    </row>
    <row r="6001" spans="1:2" x14ac:dyDescent="0.3">
      <c r="A6001" s="2">
        <v>45907.958333333343</v>
      </c>
      <c r="B6001">
        <f>3946.12627213944*(3/4)</f>
        <v>2959.594704104577</v>
      </c>
    </row>
    <row r="6002" spans="1:2" x14ac:dyDescent="0.3">
      <c r="A6002" s="2">
        <v>45908</v>
      </c>
      <c r="B6002">
        <f>3801.9485636688*(3/4)</f>
        <v>2851.4614227515985</v>
      </c>
    </row>
    <row r="6003" spans="1:2" x14ac:dyDescent="0.3">
      <c r="A6003" s="2">
        <v>45908.041666666657</v>
      </c>
      <c r="B6003">
        <f>4115.6817726094*(3/4)</f>
        <v>3086.7613294570492</v>
      </c>
    </row>
    <row r="6004" spans="1:2" x14ac:dyDescent="0.3">
      <c r="A6004" s="2">
        <v>45908.083333333343</v>
      </c>
      <c r="B6004">
        <f>3884.72496358152*(3/4)</f>
        <v>2913.5437226861363</v>
      </c>
    </row>
    <row r="6005" spans="1:2" x14ac:dyDescent="0.3">
      <c r="A6005" s="2">
        <v>45908.125</v>
      </c>
      <c r="B6005">
        <f>3999.74917641684*(3/4)</f>
        <v>2999.8118823126324</v>
      </c>
    </row>
    <row r="6006" spans="1:2" x14ac:dyDescent="0.3">
      <c r="A6006" s="2">
        <v>45908.166666666657</v>
      </c>
      <c r="B6006">
        <f>3753.98253799841*(3/4)</f>
        <v>2815.4869034988055</v>
      </c>
    </row>
    <row r="6007" spans="1:2" x14ac:dyDescent="0.3">
      <c r="A6007" s="2">
        <v>45908.208333333343</v>
      </c>
      <c r="B6007">
        <f>3691.39739981166*(3/4)</f>
        <v>2768.5480498587422</v>
      </c>
    </row>
    <row r="6008" spans="1:2" x14ac:dyDescent="0.3">
      <c r="A6008" s="2">
        <v>45908.25</v>
      </c>
      <c r="B6008">
        <f>3696.44924555377*(3/4)</f>
        <v>2772.3369341653265</v>
      </c>
    </row>
    <row r="6009" spans="1:2" x14ac:dyDescent="0.3">
      <c r="A6009" s="2">
        <v>45908.291666666657</v>
      </c>
      <c r="B6009">
        <f>4043.03899247578*(3/4)</f>
        <v>3032.2792443568364</v>
      </c>
    </row>
    <row r="6010" spans="1:2" x14ac:dyDescent="0.3">
      <c r="A6010" s="2">
        <v>45908.333333333343</v>
      </c>
      <c r="B6010">
        <f>4148.58488857622*(3/4)</f>
        <v>3111.4386664321673</v>
      </c>
    </row>
    <row r="6011" spans="1:2" x14ac:dyDescent="0.3">
      <c r="A6011" s="2">
        <v>45908.375</v>
      </c>
      <c r="B6011">
        <f>4058.25954507567*(3/4)</f>
        <v>3043.6946588067512</v>
      </c>
    </row>
    <row r="6012" spans="1:2" x14ac:dyDescent="0.3">
      <c r="A6012" s="2">
        <v>45908.416666666657</v>
      </c>
      <c r="B6012">
        <f>4088.20473479242*(3/4)</f>
        <v>3066.1535510943181</v>
      </c>
    </row>
    <row r="6013" spans="1:2" x14ac:dyDescent="0.3">
      <c r="A6013" s="2">
        <v>45908.458333333343</v>
      </c>
      <c r="B6013">
        <f>4034.10582810862*(3/4)</f>
        <v>3025.579371081466</v>
      </c>
    </row>
    <row r="6014" spans="1:2" x14ac:dyDescent="0.3">
      <c r="A6014" s="2">
        <v>45908.5</v>
      </c>
      <c r="B6014">
        <f>4423.59676380352*(3/4)</f>
        <v>3317.6975728526404</v>
      </c>
    </row>
    <row r="6015" spans="1:2" x14ac:dyDescent="0.3">
      <c r="A6015" s="2">
        <v>45908.541666666657</v>
      </c>
      <c r="B6015">
        <f>4175.10030605539*(3/4)</f>
        <v>3131.3252295415459</v>
      </c>
    </row>
    <row r="6016" spans="1:2" x14ac:dyDescent="0.3">
      <c r="A6016" s="2">
        <v>45908.583333333343</v>
      </c>
      <c r="B6016">
        <f>3968.46558669955*(3/4)</f>
        <v>2976.3491900246595</v>
      </c>
    </row>
    <row r="6017" spans="1:2" x14ac:dyDescent="0.3">
      <c r="A6017" s="2">
        <v>45908.625</v>
      </c>
      <c r="B6017">
        <f>4060.94996481622*(3/4)</f>
        <v>3045.7124736121614</v>
      </c>
    </row>
    <row r="6018" spans="1:2" x14ac:dyDescent="0.3">
      <c r="A6018" s="2">
        <v>45908.666666666657</v>
      </c>
      <c r="B6018">
        <f>3728.53397887534*(3/4)</f>
        <v>2796.400484156502</v>
      </c>
    </row>
    <row r="6019" spans="1:2" x14ac:dyDescent="0.3">
      <c r="A6019" s="2">
        <v>45908.708333333343</v>
      </c>
      <c r="B6019">
        <f>4056.19000805082*(3/4)</f>
        <v>3042.1425060381143</v>
      </c>
    </row>
    <row r="6020" spans="1:2" x14ac:dyDescent="0.3">
      <c r="A6020" s="2">
        <v>45908.75</v>
      </c>
      <c r="B6020">
        <f>4213.26080714385*(3/4)</f>
        <v>3159.9456053578879</v>
      </c>
    </row>
    <row r="6021" spans="1:2" x14ac:dyDescent="0.3">
      <c r="A6021" s="2">
        <v>45908.791666666657</v>
      </c>
      <c r="B6021">
        <f>4035.5479355572*(3/4)</f>
        <v>3026.6609516679009</v>
      </c>
    </row>
    <row r="6022" spans="1:2" x14ac:dyDescent="0.3">
      <c r="A6022" s="2">
        <v>45908.833333333343</v>
      </c>
      <c r="B6022">
        <f>3783.60744271024*(3/4)</f>
        <v>2837.7055820326786</v>
      </c>
    </row>
    <row r="6023" spans="1:2" x14ac:dyDescent="0.3">
      <c r="A6023" s="2">
        <v>45908.875</v>
      </c>
      <c r="B6023">
        <f>4007.08585531681*(3/4)</f>
        <v>3005.3143914876073</v>
      </c>
    </row>
    <row r="6024" spans="1:2" x14ac:dyDescent="0.3">
      <c r="A6024" s="2">
        <v>45908.916666666657</v>
      </c>
      <c r="B6024">
        <f>3848.46178293982*(3/4)</f>
        <v>2886.3463372048686</v>
      </c>
    </row>
    <row r="6025" spans="1:2" x14ac:dyDescent="0.3">
      <c r="A6025" s="2">
        <v>45908.958333333343</v>
      </c>
      <c r="B6025">
        <f>3811.45391169686*(3/4)</f>
        <v>2858.590433772642</v>
      </c>
    </row>
    <row r="6026" spans="1:2" x14ac:dyDescent="0.3">
      <c r="A6026" s="2">
        <v>45909</v>
      </c>
      <c r="B6026">
        <f>4231.80084347976*(3/4)</f>
        <v>3173.8506326098209</v>
      </c>
    </row>
    <row r="6027" spans="1:2" x14ac:dyDescent="0.3">
      <c r="A6027" s="2">
        <v>45909.041666666657</v>
      </c>
      <c r="B6027">
        <f>3730.00308052192*(3/4)</f>
        <v>2797.5023103914373</v>
      </c>
    </row>
    <row r="6028" spans="1:2" x14ac:dyDescent="0.3">
      <c r="A6028" s="2">
        <v>45909.083333333343</v>
      </c>
      <c r="B6028">
        <f>3983.60547242807*(3/4)</f>
        <v>2987.7041043210538</v>
      </c>
    </row>
    <row r="6029" spans="1:2" x14ac:dyDescent="0.3">
      <c r="A6029" s="2">
        <v>45909.125</v>
      </c>
      <c r="B6029">
        <f>3989.33336190793*(3/4)</f>
        <v>2992.0000214309493</v>
      </c>
    </row>
    <row r="6030" spans="1:2" x14ac:dyDescent="0.3">
      <c r="A6030" s="2">
        <v>45909.166666666657</v>
      </c>
      <c r="B6030">
        <f>4377.52161041228*(3/4)</f>
        <v>3283.1412078092094</v>
      </c>
    </row>
    <row r="6031" spans="1:2" x14ac:dyDescent="0.3">
      <c r="A6031" s="2">
        <v>45909.208333333343</v>
      </c>
      <c r="B6031">
        <f>3951.48334799612*(3/4)</f>
        <v>2963.6125109970935</v>
      </c>
    </row>
    <row r="6032" spans="1:2" x14ac:dyDescent="0.3">
      <c r="A6032" s="2">
        <v>45909.25</v>
      </c>
      <c r="B6032">
        <f>3866.46914424378*(3/4)</f>
        <v>2899.8518581828353</v>
      </c>
    </row>
    <row r="6033" spans="1:2" x14ac:dyDescent="0.3">
      <c r="A6033" s="2">
        <v>45909.291666666657</v>
      </c>
      <c r="B6033">
        <f>4002.99329800651*(3/4)</f>
        <v>3002.2449735048817</v>
      </c>
    </row>
    <row r="6034" spans="1:2" x14ac:dyDescent="0.3">
      <c r="A6034" s="2">
        <v>45909.333333333343</v>
      </c>
      <c r="B6034">
        <f>3787.25081516642*(3/4)</f>
        <v>2840.4381113748145</v>
      </c>
    </row>
    <row r="6035" spans="1:2" x14ac:dyDescent="0.3">
      <c r="A6035" s="2">
        <v>45909.375</v>
      </c>
      <c r="B6035">
        <f>3962.260945035*(3/4)</f>
        <v>2971.6957087762507</v>
      </c>
    </row>
    <row r="6036" spans="1:2" x14ac:dyDescent="0.3">
      <c r="A6036" s="2">
        <v>45909.416666666657</v>
      </c>
      <c r="B6036">
        <f>3895.08859421818*(3/4)</f>
        <v>2921.3164456636368</v>
      </c>
    </row>
    <row r="6037" spans="1:2" x14ac:dyDescent="0.3">
      <c r="A6037" s="2">
        <v>45909.458333333343</v>
      </c>
      <c r="B6037">
        <f>3847.4772562448*(3/4)</f>
        <v>2885.6079421835975</v>
      </c>
    </row>
    <row r="6038" spans="1:2" x14ac:dyDescent="0.3">
      <c r="A6038" s="2">
        <v>45909.5</v>
      </c>
      <c r="B6038">
        <f>4258.16544579626*(3/4)</f>
        <v>3193.6240843471969</v>
      </c>
    </row>
    <row r="6039" spans="1:2" x14ac:dyDescent="0.3">
      <c r="A6039" s="2">
        <v>45909.541666666657</v>
      </c>
      <c r="B6039">
        <f>3813.53833061487*(3/4)</f>
        <v>2860.1537479611525</v>
      </c>
    </row>
    <row r="6040" spans="1:2" x14ac:dyDescent="0.3">
      <c r="A6040" s="2">
        <v>45909.583333333343</v>
      </c>
      <c r="B6040">
        <f>3572.33226625211*(3/4)</f>
        <v>2679.2491996890794</v>
      </c>
    </row>
    <row r="6041" spans="1:2" x14ac:dyDescent="0.3">
      <c r="A6041" s="2">
        <v>45909.625</v>
      </c>
      <c r="B6041">
        <f>3982.54225659797*(3/4)</f>
        <v>2986.9066924484741</v>
      </c>
    </row>
    <row r="6042" spans="1:2" x14ac:dyDescent="0.3">
      <c r="A6042" s="2">
        <v>45909.666666666657</v>
      </c>
      <c r="B6042">
        <f>4240.75942223039*(3/4)</f>
        <v>3180.5695666727956</v>
      </c>
    </row>
    <row r="6043" spans="1:2" x14ac:dyDescent="0.3">
      <c r="A6043" s="2">
        <v>45909.708333333343</v>
      </c>
      <c r="B6043">
        <f>3984.64113958574*(3/4)</f>
        <v>2988.4808546893019</v>
      </c>
    </row>
    <row r="6044" spans="1:2" x14ac:dyDescent="0.3">
      <c r="A6044" s="2">
        <v>45909.75</v>
      </c>
      <c r="B6044">
        <f>3990.7709556818*(3/4)</f>
        <v>2993.078216761347</v>
      </c>
    </row>
    <row r="6045" spans="1:2" x14ac:dyDescent="0.3">
      <c r="A6045" s="2">
        <v>45909.791666666657</v>
      </c>
      <c r="B6045">
        <f>4156.60639018994*(3/4)</f>
        <v>3117.4547926424557</v>
      </c>
    </row>
    <row r="6046" spans="1:2" x14ac:dyDescent="0.3">
      <c r="A6046" s="2">
        <v>45909.833333333343</v>
      </c>
      <c r="B6046">
        <f>4029.2279345007*(3/4)</f>
        <v>3021.920950875528</v>
      </c>
    </row>
    <row r="6047" spans="1:2" x14ac:dyDescent="0.3">
      <c r="A6047" s="2">
        <v>45909.875</v>
      </c>
      <c r="B6047">
        <f>3946.48586603253*(3/4)</f>
        <v>2959.8643995244006</v>
      </c>
    </row>
    <row r="6048" spans="1:2" x14ac:dyDescent="0.3">
      <c r="A6048" s="2">
        <v>45909.916666666657</v>
      </c>
      <c r="B6048">
        <f>3957.99297956561*(3/4)</f>
        <v>2968.4947346742083</v>
      </c>
    </row>
    <row r="6049" spans="1:2" x14ac:dyDescent="0.3">
      <c r="A6049" s="2">
        <v>45909.958333333343</v>
      </c>
      <c r="B6049">
        <f>3956.33357404312*(3/4)</f>
        <v>2967.2501805323427</v>
      </c>
    </row>
    <row r="6050" spans="1:2" x14ac:dyDescent="0.3">
      <c r="A6050" s="2">
        <v>45910</v>
      </c>
      <c r="B6050">
        <f>4024.09180758953*(3/4)</f>
        <v>3018.0688556921468</v>
      </c>
    </row>
    <row r="6051" spans="1:2" x14ac:dyDescent="0.3">
      <c r="A6051" s="2">
        <v>45910.041666666657</v>
      </c>
      <c r="B6051">
        <f>4197.98273468966*(3/4)</f>
        <v>3148.4870510172414</v>
      </c>
    </row>
    <row r="6052" spans="1:2" x14ac:dyDescent="0.3">
      <c r="A6052" s="2">
        <v>45910.083333333343</v>
      </c>
      <c r="B6052">
        <f>4063.06308418727*(3/4)</f>
        <v>3047.2973131404497</v>
      </c>
    </row>
    <row r="6053" spans="1:2" x14ac:dyDescent="0.3">
      <c r="A6053" s="2">
        <v>45910.125</v>
      </c>
      <c r="B6053">
        <f>3777.81181189551*(3/4)</f>
        <v>2833.3588589216356</v>
      </c>
    </row>
    <row r="6054" spans="1:2" x14ac:dyDescent="0.3">
      <c r="A6054" s="2">
        <v>45910.166666666657</v>
      </c>
      <c r="B6054">
        <f>3977.10431793578*(3/4)</f>
        <v>2982.8282384518343</v>
      </c>
    </row>
    <row r="6055" spans="1:2" x14ac:dyDescent="0.3">
      <c r="A6055" s="2">
        <v>45910.208333333343</v>
      </c>
      <c r="B6055">
        <f>3825.30408194936*(3/4)</f>
        <v>2868.9780614620195</v>
      </c>
    </row>
    <row r="6056" spans="1:2" x14ac:dyDescent="0.3">
      <c r="A6056" s="2">
        <v>45910.25</v>
      </c>
      <c r="B6056">
        <f>3758.74000599647*(3/4)</f>
        <v>2819.0550044973561</v>
      </c>
    </row>
    <row r="6057" spans="1:2" x14ac:dyDescent="0.3">
      <c r="A6057" s="2">
        <v>45910.291666666657</v>
      </c>
      <c r="B6057">
        <f>4097.09419273134*(3/4)</f>
        <v>3072.8206445485048</v>
      </c>
    </row>
    <row r="6058" spans="1:2" x14ac:dyDescent="0.3">
      <c r="A6058" s="2">
        <v>45910.333333333343</v>
      </c>
      <c r="B6058">
        <f>3809.16781184689*(3/4)</f>
        <v>2856.8758588851706</v>
      </c>
    </row>
    <row r="6059" spans="1:2" x14ac:dyDescent="0.3">
      <c r="A6059" s="2">
        <v>45910.375</v>
      </c>
      <c r="B6059">
        <f>4029.54195124427*(3/4)</f>
        <v>3022.156463433204</v>
      </c>
    </row>
    <row r="6060" spans="1:2" x14ac:dyDescent="0.3">
      <c r="A6060" s="2">
        <v>45910.416666666657</v>
      </c>
      <c r="B6060">
        <f>3954.58322002796*(3/4)</f>
        <v>2965.9374150209705</v>
      </c>
    </row>
    <row r="6061" spans="1:2" x14ac:dyDescent="0.3">
      <c r="A6061" s="2">
        <v>45910.458333333343</v>
      </c>
      <c r="B6061">
        <f>3932.7110571173*(3/4)</f>
        <v>2949.5332928379771</v>
      </c>
    </row>
    <row r="6062" spans="1:2" x14ac:dyDescent="0.3">
      <c r="A6062" s="2">
        <v>45910.5</v>
      </c>
      <c r="B6062">
        <f>3932.95975853094*(3/4)</f>
        <v>2949.7198188982065</v>
      </c>
    </row>
    <row r="6063" spans="1:2" x14ac:dyDescent="0.3">
      <c r="A6063" s="2">
        <v>45910.541666666657</v>
      </c>
      <c r="B6063">
        <f>4192.67995871717*(3/4)</f>
        <v>3144.5099690378765</v>
      </c>
    </row>
    <row r="6064" spans="1:2" x14ac:dyDescent="0.3">
      <c r="A6064" s="2">
        <v>45910.583333333343</v>
      </c>
      <c r="B6064">
        <f>4016.83291610114*(3/4)</f>
        <v>3012.6246870758573</v>
      </c>
    </row>
    <row r="6065" spans="1:2" x14ac:dyDescent="0.3">
      <c r="A6065" s="2">
        <v>45910.625</v>
      </c>
      <c r="B6065">
        <f>4004.80180772555*(3/4)</f>
        <v>3003.6013557941596</v>
      </c>
    </row>
    <row r="6066" spans="1:2" x14ac:dyDescent="0.3">
      <c r="A6066" s="2">
        <v>45910.666666666657</v>
      </c>
      <c r="B6066">
        <f>3838.4206983331*(3/4)</f>
        <v>2878.8155237498281</v>
      </c>
    </row>
    <row r="6067" spans="1:2" x14ac:dyDescent="0.3">
      <c r="A6067" s="2">
        <v>45910.708333333343</v>
      </c>
      <c r="B6067">
        <f>4208.20641545972*(3/4)</f>
        <v>3156.1548115947899</v>
      </c>
    </row>
    <row r="6068" spans="1:2" x14ac:dyDescent="0.3">
      <c r="A6068" s="2">
        <v>45910.75</v>
      </c>
      <c r="B6068">
        <f>4010.05210831533*(3/4)</f>
        <v>3007.5390812364953</v>
      </c>
    </row>
    <row r="6069" spans="1:2" x14ac:dyDescent="0.3">
      <c r="A6069" s="2">
        <v>45910.791666666657</v>
      </c>
      <c r="B6069">
        <f>4251.83067128224*(3/4)</f>
        <v>3188.8730034616765</v>
      </c>
    </row>
    <row r="6070" spans="1:2" x14ac:dyDescent="0.3">
      <c r="A6070" s="2">
        <v>45910.833333333343</v>
      </c>
      <c r="B6070">
        <f>4506.91226399414*(3/4)</f>
        <v>3380.1841979956071</v>
      </c>
    </row>
    <row r="6071" spans="1:2" x14ac:dyDescent="0.3">
      <c r="A6071" s="2">
        <v>45910.875</v>
      </c>
      <c r="B6071">
        <f>3902.61907324741*(3/4)</f>
        <v>2926.9643049355554</v>
      </c>
    </row>
    <row r="6072" spans="1:2" x14ac:dyDescent="0.3">
      <c r="A6072" s="2">
        <v>45910.916666666657</v>
      </c>
      <c r="B6072">
        <f>3986.85236499821*(3/4)</f>
        <v>2990.1392737486558</v>
      </c>
    </row>
    <row r="6073" spans="1:2" x14ac:dyDescent="0.3">
      <c r="A6073" s="2">
        <v>45910.958333333343</v>
      </c>
      <c r="B6073">
        <f>4021.64186699116*(3/4)</f>
        <v>3016.23140024337</v>
      </c>
    </row>
    <row r="6074" spans="1:2" x14ac:dyDescent="0.3">
      <c r="A6074" s="2">
        <v>45911</v>
      </c>
      <c r="B6074">
        <f>3689.38944940178*(3/4)</f>
        <v>2767.0420870513349</v>
      </c>
    </row>
    <row r="6075" spans="1:2" x14ac:dyDescent="0.3">
      <c r="A6075" s="2">
        <v>45911.041666666657</v>
      </c>
      <c r="B6075">
        <f>3884.94266599379*(3/4)</f>
        <v>2913.7069994953454</v>
      </c>
    </row>
    <row r="6076" spans="1:2" x14ac:dyDescent="0.3">
      <c r="A6076" s="2">
        <v>45911.083333333343</v>
      </c>
      <c r="B6076">
        <f>4088.87717929635*(3/4)</f>
        <v>3066.6578844722603</v>
      </c>
    </row>
    <row r="6077" spans="1:2" x14ac:dyDescent="0.3">
      <c r="A6077" s="2">
        <v>45911.125</v>
      </c>
      <c r="B6077">
        <f>4040.86094489602*(3/4)</f>
        <v>3030.6457086720134</v>
      </c>
    </row>
    <row r="6078" spans="1:2" x14ac:dyDescent="0.3">
      <c r="A6078" s="2">
        <v>45911.166666666657</v>
      </c>
      <c r="B6078">
        <f>4030.57234602914*(3/4)</f>
        <v>3022.9292595218512</v>
      </c>
    </row>
    <row r="6079" spans="1:2" x14ac:dyDescent="0.3">
      <c r="A6079" s="2">
        <v>45911.208333333343</v>
      </c>
      <c r="B6079">
        <f>3794.59572621457*(3/4)</f>
        <v>2845.9467946609284</v>
      </c>
    </row>
    <row r="6080" spans="1:2" x14ac:dyDescent="0.3">
      <c r="A6080" s="2">
        <v>45911.25</v>
      </c>
      <c r="B6080">
        <f>3729.45289901718*(3/4)</f>
        <v>2797.089674262882</v>
      </c>
    </row>
    <row r="6081" spans="1:2" x14ac:dyDescent="0.3">
      <c r="A6081" s="2">
        <v>45911.291666666657</v>
      </c>
      <c r="B6081">
        <f>4073.26777904899*(3/4)</f>
        <v>3054.9508342867452</v>
      </c>
    </row>
    <row r="6082" spans="1:2" x14ac:dyDescent="0.3">
      <c r="A6082" s="2">
        <v>45911.333333333343</v>
      </c>
      <c r="B6082">
        <f>3893.88156599901*(3/4)</f>
        <v>2920.4111744992597</v>
      </c>
    </row>
    <row r="6083" spans="1:2" x14ac:dyDescent="0.3">
      <c r="A6083" s="2">
        <v>45911.375</v>
      </c>
      <c r="B6083">
        <f>4062.49789692485*(3/4)</f>
        <v>3046.8734226936344</v>
      </c>
    </row>
    <row r="6084" spans="1:2" x14ac:dyDescent="0.3">
      <c r="A6084" s="2">
        <v>45911.416666666657</v>
      </c>
      <c r="B6084">
        <f>4164.2315236353*(3/4)</f>
        <v>3123.1736427264727</v>
      </c>
    </row>
    <row r="6085" spans="1:2" x14ac:dyDescent="0.3">
      <c r="A6085" s="2">
        <v>45911.458333333343</v>
      </c>
      <c r="B6085">
        <f>4181.07561257798*(3/4)</f>
        <v>3135.806709433487</v>
      </c>
    </row>
    <row r="6086" spans="1:2" x14ac:dyDescent="0.3">
      <c r="A6086" s="2">
        <v>45911.5</v>
      </c>
      <c r="B6086">
        <f>4069.49187882005*(3/4)</f>
        <v>3052.1189091150391</v>
      </c>
    </row>
    <row r="6087" spans="1:2" x14ac:dyDescent="0.3">
      <c r="A6087" s="2">
        <v>45911.541666666657</v>
      </c>
      <c r="B6087">
        <f>4175.86816063475*(3/4)</f>
        <v>3131.9011204760604</v>
      </c>
    </row>
    <row r="6088" spans="1:2" x14ac:dyDescent="0.3">
      <c r="A6088" s="2">
        <v>45911.583333333343</v>
      </c>
      <c r="B6088">
        <f>3921.20518201071*(3/4)</f>
        <v>2940.9038865080347</v>
      </c>
    </row>
    <row r="6089" spans="1:2" x14ac:dyDescent="0.3">
      <c r="A6089" s="2">
        <v>45911.625</v>
      </c>
      <c r="B6089">
        <f>3954.96539925526*(3/4)</f>
        <v>2966.2240494414473</v>
      </c>
    </row>
    <row r="6090" spans="1:2" x14ac:dyDescent="0.3">
      <c r="A6090" s="2">
        <v>45911.666666666657</v>
      </c>
      <c r="B6090">
        <f>3620.9864288124*(3/4)</f>
        <v>2715.739821609297</v>
      </c>
    </row>
    <row r="6091" spans="1:2" x14ac:dyDescent="0.3">
      <c r="A6091" s="2">
        <v>45911.708333333343</v>
      </c>
      <c r="B6091">
        <f>4073.98105610901*(3/4)</f>
        <v>3055.485792081759</v>
      </c>
    </row>
    <row r="6092" spans="1:2" x14ac:dyDescent="0.3">
      <c r="A6092" s="2">
        <v>45911.75</v>
      </c>
      <c r="B6092">
        <f>4153.93992689888*(3/4)</f>
        <v>3115.4549451741632</v>
      </c>
    </row>
    <row r="6093" spans="1:2" x14ac:dyDescent="0.3">
      <c r="A6093" s="2">
        <v>45911.791666666657</v>
      </c>
      <c r="B6093">
        <f>3992.26328827055*(3/4)</f>
        <v>2994.1974662029143</v>
      </c>
    </row>
    <row r="6094" spans="1:2" x14ac:dyDescent="0.3">
      <c r="A6094" s="2">
        <v>45911.833333333343</v>
      </c>
      <c r="B6094">
        <f>4066.36535672625*(3/4)</f>
        <v>3049.7740175446861</v>
      </c>
    </row>
    <row r="6095" spans="1:2" x14ac:dyDescent="0.3">
      <c r="A6095" s="2">
        <v>45911.875</v>
      </c>
      <c r="B6095">
        <f>3869.81376078712*(3/4)</f>
        <v>2902.3603205903387</v>
      </c>
    </row>
    <row r="6096" spans="1:2" x14ac:dyDescent="0.3">
      <c r="A6096" s="2">
        <v>45911.916666666657</v>
      </c>
      <c r="B6096">
        <f>4080.35764783918*(3/4)</f>
        <v>3060.2682358793859</v>
      </c>
    </row>
    <row r="6097" spans="1:2" x14ac:dyDescent="0.3">
      <c r="A6097" s="2">
        <v>45911.958333333343</v>
      </c>
      <c r="B6097">
        <f>3918.36925221941*(3/4)</f>
        <v>2938.7769391645588</v>
      </c>
    </row>
    <row r="6098" spans="1:2" x14ac:dyDescent="0.3">
      <c r="A6098" s="2">
        <v>45912</v>
      </c>
      <c r="B6098">
        <f>4064.12702958386*(3/4)</f>
        <v>3048.0952721878948</v>
      </c>
    </row>
    <row r="6099" spans="1:2" x14ac:dyDescent="0.3">
      <c r="A6099" s="2">
        <v>45912.041666666657</v>
      </c>
      <c r="B6099">
        <f>3746.41927932813*(3/4)</f>
        <v>2809.814459496095</v>
      </c>
    </row>
    <row r="6100" spans="1:2" x14ac:dyDescent="0.3">
      <c r="A6100" s="2">
        <v>45912.083333333343</v>
      </c>
      <c r="B6100">
        <f>3871.01845720664*(3/4)</f>
        <v>2903.2638429049803</v>
      </c>
    </row>
    <row r="6101" spans="1:2" x14ac:dyDescent="0.3">
      <c r="A6101" s="2">
        <v>45912.125</v>
      </c>
      <c r="B6101">
        <f>3564.25832384295*(3/4)</f>
        <v>2673.1937428822102</v>
      </c>
    </row>
    <row r="6102" spans="1:2" x14ac:dyDescent="0.3">
      <c r="A6102" s="2">
        <v>45912.166666666657</v>
      </c>
      <c r="B6102">
        <f>4228.64746022698*(3/4)</f>
        <v>3171.4855951702366</v>
      </c>
    </row>
    <row r="6103" spans="1:2" x14ac:dyDescent="0.3">
      <c r="A6103" s="2">
        <v>45912.208333333343</v>
      </c>
      <c r="B6103">
        <f>3959.25309655076*(3/4)</f>
        <v>2969.4398224130737</v>
      </c>
    </row>
    <row r="6104" spans="1:2" x14ac:dyDescent="0.3">
      <c r="A6104" s="2">
        <v>45912.25</v>
      </c>
      <c r="B6104">
        <f>3872.95066687584*(3/4)</f>
        <v>2904.7130001568785</v>
      </c>
    </row>
    <row r="6105" spans="1:2" x14ac:dyDescent="0.3">
      <c r="A6105" s="2">
        <v>45912.291666666657</v>
      </c>
      <c r="B6105">
        <f>4111.5602169245*(3/4)</f>
        <v>3083.6701626933727</v>
      </c>
    </row>
    <row r="6106" spans="1:2" x14ac:dyDescent="0.3">
      <c r="A6106" s="2">
        <v>45912.333333333343</v>
      </c>
      <c r="B6106">
        <f>3946.00269566238*(3/4)</f>
        <v>2959.5020217467872</v>
      </c>
    </row>
    <row r="6107" spans="1:2" x14ac:dyDescent="0.3">
      <c r="A6107" s="2">
        <v>45912.375</v>
      </c>
      <c r="B6107">
        <f>4135.4645327299*(3/4)</f>
        <v>3101.5983995474235</v>
      </c>
    </row>
    <row r="6108" spans="1:2" x14ac:dyDescent="0.3">
      <c r="A6108" s="2">
        <v>45912.416666666657</v>
      </c>
      <c r="B6108">
        <f>4269.95206485283*(3/4)</f>
        <v>3202.4640486396215</v>
      </c>
    </row>
    <row r="6109" spans="1:2" x14ac:dyDescent="0.3">
      <c r="A6109" s="2">
        <v>45912.458333333343</v>
      </c>
      <c r="B6109">
        <f>4119.51090536346*(3/4)</f>
        <v>3089.6331790225954</v>
      </c>
    </row>
    <row r="6110" spans="1:2" x14ac:dyDescent="0.3">
      <c r="A6110" s="2">
        <v>45912.5</v>
      </c>
      <c r="B6110">
        <f>4001.5226026477*(3/4)</f>
        <v>3001.1419519857773</v>
      </c>
    </row>
    <row r="6111" spans="1:2" x14ac:dyDescent="0.3">
      <c r="A6111" s="2">
        <v>45912.541666666657</v>
      </c>
      <c r="B6111">
        <f>4090.61729585243*(3/4)</f>
        <v>3067.9629718893225</v>
      </c>
    </row>
    <row r="6112" spans="1:2" x14ac:dyDescent="0.3">
      <c r="A6112" s="2">
        <v>45912.583333333343</v>
      </c>
      <c r="B6112">
        <f>3980.84572490632*(3/4)</f>
        <v>2985.6342936797405</v>
      </c>
    </row>
    <row r="6113" spans="1:2" x14ac:dyDescent="0.3">
      <c r="A6113" s="2">
        <v>45912.625</v>
      </c>
      <c r="B6113">
        <f>3966.71792945922*(3/4)</f>
        <v>2975.0384470944118</v>
      </c>
    </row>
    <row r="6114" spans="1:2" x14ac:dyDescent="0.3">
      <c r="A6114" s="2">
        <v>45912.666666666657</v>
      </c>
      <c r="B6114">
        <f>4108.00588579764*(3/4)</f>
        <v>3081.0044143482273</v>
      </c>
    </row>
    <row r="6115" spans="1:2" x14ac:dyDescent="0.3">
      <c r="A6115" s="2">
        <v>45912.708333333343</v>
      </c>
      <c r="B6115">
        <f>3868.9833516484*(3/4)</f>
        <v>2901.7375137363024</v>
      </c>
    </row>
    <row r="6116" spans="1:2" x14ac:dyDescent="0.3">
      <c r="A6116" s="2">
        <v>45912.75</v>
      </c>
      <c r="B6116">
        <f>4108.88203699489*(3/4)</f>
        <v>3081.6615277461678</v>
      </c>
    </row>
    <row r="6117" spans="1:2" x14ac:dyDescent="0.3">
      <c r="A6117" s="2">
        <v>45912.791666666657</v>
      </c>
      <c r="B6117">
        <f>3775.54991433946*(3/4)</f>
        <v>2831.6624357545957</v>
      </c>
    </row>
    <row r="6118" spans="1:2" x14ac:dyDescent="0.3">
      <c r="A6118" s="2">
        <v>45912.833333333343</v>
      </c>
      <c r="B6118">
        <f>4181.81830975441*(3/4)</f>
        <v>3136.36373231581</v>
      </c>
    </row>
    <row r="6119" spans="1:2" x14ac:dyDescent="0.3">
      <c r="A6119" s="2">
        <v>45912.875</v>
      </c>
      <c r="B6119">
        <f>4114.12031880879*(3/4)</f>
        <v>3085.5902391065947</v>
      </c>
    </row>
    <row r="6120" spans="1:2" x14ac:dyDescent="0.3">
      <c r="A6120" s="2">
        <v>45912.916666666657</v>
      </c>
      <c r="B6120">
        <f>3909.71423397276*(3/4)</f>
        <v>2932.2856754795707</v>
      </c>
    </row>
    <row r="6121" spans="1:2" x14ac:dyDescent="0.3">
      <c r="A6121" s="2">
        <v>45912.958333333343</v>
      </c>
      <c r="B6121">
        <f>3680.74886361582*(3/4)</f>
        <v>2760.5616477118629</v>
      </c>
    </row>
    <row r="6122" spans="1:2" x14ac:dyDescent="0.3">
      <c r="A6122" s="2">
        <v>45913</v>
      </c>
      <c r="B6122">
        <f>3722.90808220444*(3/4)</f>
        <v>2792.1810616533294</v>
      </c>
    </row>
    <row r="6123" spans="1:2" x14ac:dyDescent="0.3">
      <c r="A6123" s="2">
        <v>45913.041666666657</v>
      </c>
      <c r="B6123">
        <f>3892.61261289115*(3/4)</f>
        <v>2919.459459668361</v>
      </c>
    </row>
    <row r="6124" spans="1:2" x14ac:dyDescent="0.3">
      <c r="A6124" s="2">
        <v>45913.083333333343</v>
      </c>
      <c r="B6124">
        <f>3817.80836051955*(3/4)</f>
        <v>2863.3562703896632</v>
      </c>
    </row>
    <row r="6125" spans="1:2" x14ac:dyDescent="0.3">
      <c r="A6125" s="2">
        <v>45913.125</v>
      </c>
      <c r="B6125">
        <f>4050.77521786743*(3/4)</f>
        <v>3038.0814134005755</v>
      </c>
    </row>
    <row r="6126" spans="1:2" x14ac:dyDescent="0.3">
      <c r="A6126" s="2">
        <v>45913.166666666657</v>
      </c>
      <c r="B6126">
        <f>3723.20783872101*(3/4)</f>
        <v>2792.4058790407589</v>
      </c>
    </row>
    <row r="6127" spans="1:2" x14ac:dyDescent="0.3">
      <c r="A6127" s="2">
        <v>45913.208333333343</v>
      </c>
      <c r="B6127">
        <f>4008.53436649268*(3/4)</f>
        <v>3006.4007748695121</v>
      </c>
    </row>
    <row r="6128" spans="1:2" x14ac:dyDescent="0.3">
      <c r="A6128" s="2">
        <v>45913.25</v>
      </c>
      <c r="B6128">
        <f>3750.8116056374*(3/4)</f>
        <v>2813.1087042280515</v>
      </c>
    </row>
    <row r="6129" spans="1:2" x14ac:dyDescent="0.3">
      <c r="A6129" s="2">
        <v>45913.291666666657</v>
      </c>
      <c r="B6129">
        <f>4236.89542454081*(3/4)</f>
        <v>3177.6715684056112</v>
      </c>
    </row>
    <row r="6130" spans="1:2" x14ac:dyDescent="0.3">
      <c r="A6130" s="2">
        <v>45913.333333333343</v>
      </c>
      <c r="B6130">
        <f>4395.05817219441*(3/4)</f>
        <v>3296.2936291458045</v>
      </c>
    </row>
    <row r="6131" spans="1:2" x14ac:dyDescent="0.3">
      <c r="A6131" s="2">
        <v>45913.375</v>
      </c>
      <c r="B6131">
        <f>3908.9834230863*(3/4)</f>
        <v>2931.7375673147249</v>
      </c>
    </row>
    <row r="6132" spans="1:2" x14ac:dyDescent="0.3">
      <c r="A6132" s="2">
        <v>45913.416666666657</v>
      </c>
      <c r="B6132">
        <f>3896.60730428577*(3/4)</f>
        <v>2922.4554782143246</v>
      </c>
    </row>
    <row r="6133" spans="1:2" x14ac:dyDescent="0.3">
      <c r="A6133" s="2">
        <v>45913.458333333343</v>
      </c>
      <c r="B6133">
        <f>4280.77315136372*(3/4)</f>
        <v>3210.5798635227866</v>
      </c>
    </row>
    <row r="6134" spans="1:2" x14ac:dyDescent="0.3">
      <c r="A6134" s="2">
        <v>45913.5</v>
      </c>
      <c r="B6134">
        <f>3969.83873416717*(3/4)</f>
        <v>2977.379050625379</v>
      </c>
    </row>
    <row r="6135" spans="1:2" x14ac:dyDescent="0.3">
      <c r="A6135" s="2">
        <v>45913.541666666657</v>
      </c>
      <c r="B6135">
        <f>3924.8575152873*(3/4)</f>
        <v>2943.6431364654763</v>
      </c>
    </row>
    <row r="6136" spans="1:2" x14ac:dyDescent="0.3">
      <c r="A6136" s="2">
        <v>45913.583333333343</v>
      </c>
      <c r="B6136">
        <f>3573.4831451099*(3/4)</f>
        <v>2680.1123588324267</v>
      </c>
    </row>
    <row r="6137" spans="1:2" x14ac:dyDescent="0.3">
      <c r="A6137" s="2">
        <v>45913.625</v>
      </c>
      <c r="B6137">
        <f>3994.66125186415*(3/4)</f>
        <v>2995.9959388981097</v>
      </c>
    </row>
    <row r="6138" spans="1:2" x14ac:dyDescent="0.3">
      <c r="A6138" s="2">
        <v>45913.666666666657</v>
      </c>
      <c r="B6138">
        <f>4370.2822797191*(3/4)</f>
        <v>3277.7117097893224</v>
      </c>
    </row>
    <row r="6139" spans="1:2" x14ac:dyDescent="0.3">
      <c r="A6139" s="2">
        <v>45913.708333333343</v>
      </c>
      <c r="B6139">
        <f>4104.09695970299*(3/4)</f>
        <v>3078.0727197772458</v>
      </c>
    </row>
    <row r="6140" spans="1:2" x14ac:dyDescent="0.3">
      <c r="A6140" s="2">
        <v>45913.75</v>
      </c>
      <c r="B6140">
        <f>4016.13881563172*(3/4)</f>
        <v>3012.1041117237914</v>
      </c>
    </row>
    <row r="6141" spans="1:2" x14ac:dyDescent="0.3">
      <c r="A6141" s="2">
        <v>45913.791666666657</v>
      </c>
      <c r="B6141">
        <f>4239.58735844819*(3/4)</f>
        <v>3179.6905188361425</v>
      </c>
    </row>
    <row r="6142" spans="1:2" x14ac:dyDescent="0.3">
      <c r="A6142" s="2">
        <v>45913.833333333343</v>
      </c>
      <c r="B6142">
        <f>4409.8195658481*(3/4)</f>
        <v>3307.3646743860718</v>
      </c>
    </row>
    <row r="6143" spans="1:2" x14ac:dyDescent="0.3">
      <c r="A6143" s="2">
        <v>45913.875</v>
      </c>
      <c r="B6143">
        <f>4066.67963271512*(3/4)</f>
        <v>3050.0097245363431</v>
      </c>
    </row>
    <row r="6144" spans="1:2" x14ac:dyDescent="0.3">
      <c r="A6144" s="2">
        <v>45913.916666666657</v>
      </c>
      <c r="B6144">
        <f>3978.69835751756*(3/4)</f>
        <v>2984.0237681381677</v>
      </c>
    </row>
    <row r="6145" spans="1:2" x14ac:dyDescent="0.3">
      <c r="A6145" s="2">
        <v>45913.958333333343</v>
      </c>
      <c r="B6145">
        <f>3735.49631620825*(3/4)</f>
        <v>2801.6222371561867</v>
      </c>
    </row>
    <row r="6146" spans="1:2" x14ac:dyDescent="0.3">
      <c r="A6146" s="2">
        <v>45914</v>
      </c>
      <c r="B6146">
        <f>3749.10869543023*(3/4)</f>
        <v>2811.8315215726725</v>
      </c>
    </row>
    <row r="6147" spans="1:2" x14ac:dyDescent="0.3">
      <c r="A6147" s="2">
        <v>45914.041666666657</v>
      </c>
      <c r="B6147">
        <f>3883.14924850665*(3/4)</f>
        <v>2912.3619363799844</v>
      </c>
    </row>
    <row r="6148" spans="1:2" x14ac:dyDescent="0.3">
      <c r="A6148" s="2">
        <v>45914.083333333343</v>
      </c>
      <c r="B6148">
        <f>3776.72687490348*(3/4)</f>
        <v>2832.5451561776072</v>
      </c>
    </row>
    <row r="6149" spans="1:2" x14ac:dyDescent="0.3">
      <c r="A6149" s="2">
        <v>45914.125</v>
      </c>
      <c r="B6149">
        <f>4007.1366345946*(3/4)</f>
        <v>3005.3524759459492</v>
      </c>
    </row>
    <row r="6150" spans="1:2" x14ac:dyDescent="0.3">
      <c r="A6150" s="2">
        <v>45914.166666666657</v>
      </c>
      <c r="B6150">
        <f>3958.8516021109*(3/4)</f>
        <v>2969.1387015831779</v>
      </c>
    </row>
    <row r="6151" spans="1:2" x14ac:dyDescent="0.3">
      <c r="A6151" s="2">
        <v>45914.208333333343</v>
      </c>
      <c r="B6151">
        <f>3773.70115690567*(3/4)</f>
        <v>2830.2758676792519</v>
      </c>
    </row>
    <row r="6152" spans="1:2" x14ac:dyDescent="0.3">
      <c r="A6152" s="2">
        <v>45914.25</v>
      </c>
      <c r="B6152">
        <f>3818.61701386301*(3/4)</f>
        <v>2863.9627603972563</v>
      </c>
    </row>
    <row r="6153" spans="1:2" x14ac:dyDescent="0.3">
      <c r="A6153" s="2">
        <v>45914.291666666657</v>
      </c>
      <c r="B6153">
        <f>4054.88097977763*(3/4)</f>
        <v>3041.1607348332218</v>
      </c>
    </row>
    <row r="6154" spans="1:2" x14ac:dyDescent="0.3">
      <c r="A6154" s="2">
        <v>45914.333333333343</v>
      </c>
      <c r="B6154">
        <f>3166.80188146814*(3/4)</f>
        <v>2375.1014111011054</v>
      </c>
    </row>
    <row r="6155" spans="1:2" x14ac:dyDescent="0.3">
      <c r="A6155" s="2">
        <v>45914.375</v>
      </c>
      <c r="B6155">
        <f>3133.88210928775*(3/4)</f>
        <v>2350.41158196581</v>
      </c>
    </row>
    <row r="6156" spans="1:2" x14ac:dyDescent="0.3">
      <c r="A6156" s="2">
        <v>45914.416666666657</v>
      </c>
      <c r="B6156">
        <f>3428.66865743699*(3/4)</f>
        <v>2571.5014930777402</v>
      </c>
    </row>
    <row r="6157" spans="1:2" x14ac:dyDescent="0.3">
      <c r="A6157" s="2">
        <v>45914.458333333343</v>
      </c>
      <c r="B6157">
        <f>3193.29109028739*(3/4)</f>
        <v>2394.968317715543</v>
      </c>
    </row>
    <row r="6158" spans="1:2" x14ac:dyDescent="0.3">
      <c r="A6158" s="2">
        <v>45914.5</v>
      </c>
      <c r="B6158">
        <f>2899.90822152692*(3/4)</f>
        <v>2174.9311661451875</v>
      </c>
    </row>
    <row r="6159" spans="1:2" x14ac:dyDescent="0.3">
      <c r="A6159" s="2">
        <v>45914.541666666657</v>
      </c>
      <c r="B6159">
        <f>3254.49468527816*(3/4)</f>
        <v>2440.8710139586201</v>
      </c>
    </row>
    <row r="6160" spans="1:2" x14ac:dyDescent="0.3">
      <c r="A6160" s="2">
        <v>45914.583333333343</v>
      </c>
      <c r="B6160">
        <f>2781.04379653325*(3/4)</f>
        <v>2085.7828473999398</v>
      </c>
    </row>
    <row r="6161" spans="1:2" x14ac:dyDescent="0.3">
      <c r="A6161" s="2">
        <v>45914.625</v>
      </c>
      <c r="B6161">
        <f>3103.24960113823*(3/4)</f>
        <v>2327.4372008536702</v>
      </c>
    </row>
    <row r="6162" spans="1:2" x14ac:dyDescent="0.3">
      <c r="A6162" s="2">
        <v>45914.666666666657</v>
      </c>
      <c r="B6162">
        <f>3253.07575953253*(3/4)</f>
        <v>2439.8068196493982</v>
      </c>
    </row>
    <row r="6163" spans="1:2" x14ac:dyDescent="0.3">
      <c r="A6163" s="2">
        <v>45914.708333333343</v>
      </c>
      <c r="B6163">
        <f>4102.97059882835*(3/4)</f>
        <v>3077.2279491212612</v>
      </c>
    </row>
    <row r="6164" spans="1:2" x14ac:dyDescent="0.3">
      <c r="A6164" s="2">
        <v>45914.75</v>
      </c>
      <c r="B6164">
        <f>4034.99121178332*(3/4)</f>
        <v>3026.2434088374862</v>
      </c>
    </row>
    <row r="6165" spans="1:2" x14ac:dyDescent="0.3">
      <c r="A6165" s="2">
        <v>45914.791666666657</v>
      </c>
      <c r="B6165">
        <f>4006.01375706152*(3/4)</f>
        <v>3004.51031779614</v>
      </c>
    </row>
    <row r="6166" spans="1:2" x14ac:dyDescent="0.3">
      <c r="A6166" s="2">
        <v>45914.833333333343</v>
      </c>
      <c r="B6166">
        <f>4177.20660839401*(3/4)</f>
        <v>3132.9049562955106</v>
      </c>
    </row>
    <row r="6167" spans="1:2" x14ac:dyDescent="0.3">
      <c r="A6167" s="2">
        <v>45914.875</v>
      </c>
      <c r="B6167">
        <f>4185.66128347314*(3/4)</f>
        <v>3139.245962604854</v>
      </c>
    </row>
    <row r="6168" spans="1:2" x14ac:dyDescent="0.3">
      <c r="A6168" s="2">
        <v>45914.916666666657</v>
      </c>
      <c r="B6168">
        <f>4001.43765775363*(3/4)</f>
        <v>3001.0782433152226</v>
      </c>
    </row>
    <row r="6169" spans="1:2" x14ac:dyDescent="0.3">
      <c r="A6169" s="2">
        <v>45914.958333333343</v>
      </c>
      <c r="B6169">
        <f>3942.23076791596*(3/4)</f>
        <v>2956.6730759369711</v>
      </c>
    </row>
    <row r="6170" spans="1:2" x14ac:dyDescent="0.3">
      <c r="A6170" s="2">
        <v>45915</v>
      </c>
      <c r="B6170">
        <f>3650.61804231642*(3/4)</f>
        <v>2737.963531737315</v>
      </c>
    </row>
    <row r="6171" spans="1:2" x14ac:dyDescent="0.3">
      <c r="A6171" s="2">
        <v>45915.041666666657</v>
      </c>
      <c r="B6171">
        <f>4064.93210946695*(3/4)</f>
        <v>3048.6990821002155</v>
      </c>
    </row>
    <row r="6172" spans="1:2" x14ac:dyDescent="0.3">
      <c r="A6172" s="2">
        <v>45915.083333333343</v>
      </c>
      <c r="B6172">
        <f>4072.05046913604*(3/4)</f>
        <v>3054.0378518520279</v>
      </c>
    </row>
    <row r="6173" spans="1:2" x14ac:dyDescent="0.3">
      <c r="A6173" s="2">
        <v>45915.125</v>
      </c>
      <c r="B6173">
        <f>4088.69353078742*(3/4)</f>
        <v>3066.520148090568</v>
      </c>
    </row>
    <row r="6174" spans="1:2" x14ac:dyDescent="0.3">
      <c r="A6174" s="2">
        <v>45915.166666666657</v>
      </c>
      <c r="B6174">
        <f>4070.04479460159*(3/4)</f>
        <v>3052.5335959511917</v>
      </c>
    </row>
    <row r="6175" spans="1:2" x14ac:dyDescent="0.3">
      <c r="A6175" s="2">
        <v>45915.208333333343</v>
      </c>
      <c r="B6175">
        <f>3998.4758135324*(3/4)</f>
        <v>2998.8568601492998</v>
      </c>
    </row>
    <row r="6176" spans="1:2" x14ac:dyDescent="0.3">
      <c r="A6176" s="2">
        <v>45915.25</v>
      </c>
      <c r="B6176">
        <f>3643.27804980397*(3/4)</f>
        <v>2732.4585373529776</v>
      </c>
    </row>
    <row r="6177" spans="1:2" x14ac:dyDescent="0.3">
      <c r="A6177" s="2">
        <v>45915.291666666657</v>
      </c>
      <c r="B6177">
        <f>4128.89380147876*(3/4)</f>
        <v>3096.67035110907</v>
      </c>
    </row>
    <row r="6178" spans="1:2" x14ac:dyDescent="0.3">
      <c r="A6178" s="2">
        <v>45915.333333333343</v>
      </c>
      <c r="B6178">
        <f>4002.56254916638*(3/4)</f>
        <v>3001.9219118747824</v>
      </c>
    </row>
    <row r="6179" spans="1:2" x14ac:dyDescent="0.3">
      <c r="A6179" s="2">
        <v>45915.375</v>
      </c>
      <c r="B6179">
        <f>4036.54607587679*(3/4)</f>
        <v>3027.4095569075894</v>
      </c>
    </row>
    <row r="6180" spans="1:2" x14ac:dyDescent="0.3">
      <c r="A6180" s="2">
        <v>45915.416666666657</v>
      </c>
      <c r="B6180">
        <f>4030.81574100853*(3/4)</f>
        <v>3023.1118057563954</v>
      </c>
    </row>
    <row r="6181" spans="1:2" x14ac:dyDescent="0.3">
      <c r="A6181" s="2">
        <v>45915.458333333343</v>
      </c>
      <c r="B6181">
        <f>4126.44256589319*(3/4)</f>
        <v>3094.831924419891</v>
      </c>
    </row>
    <row r="6182" spans="1:2" x14ac:dyDescent="0.3">
      <c r="A6182" s="2">
        <v>45915.5</v>
      </c>
      <c r="B6182">
        <f>4032.54452961793*(3/4)</f>
        <v>3024.4083972134481</v>
      </c>
    </row>
    <row r="6183" spans="1:2" x14ac:dyDescent="0.3">
      <c r="A6183" s="2">
        <v>45915.541666666657</v>
      </c>
      <c r="B6183">
        <f>4222.34274686322*(3/4)</f>
        <v>3166.7570601474163</v>
      </c>
    </row>
    <row r="6184" spans="1:2" x14ac:dyDescent="0.3">
      <c r="A6184" s="2">
        <v>45915.583333333343</v>
      </c>
      <c r="B6184">
        <f>3677.81818515827*(3/4)</f>
        <v>2758.3636388687023</v>
      </c>
    </row>
    <row r="6185" spans="1:2" x14ac:dyDescent="0.3">
      <c r="A6185" s="2">
        <v>45915.625</v>
      </c>
      <c r="B6185">
        <f>3982.30440284296*(3/4)</f>
        <v>2986.7283021322223</v>
      </c>
    </row>
    <row r="6186" spans="1:2" x14ac:dyDescent="0.3">
      <c r="A6186" s="2">
        <v>45915.666666666657</v>
      </c>
      <c r="B6186">
        <f>3936.27610386967*(3/4)</f>
        <v>2952.2070779022524</v>
      </c>
    </row>
    <row r="6187" spans="1:2" x14ac:dyDescent="0.3">
      <c r="A6187" s="2">
        <v>45915.708333333343</v>
      </c>
      <c r="B6187">
        <f>3879.80531272502*(3/4)</f>
        <v>2909.8539845437658</v>
      </c>
    </row>
    <row r="6188" spans="1:2" x14ac:dyDescent="0.3">
      <c r="A6188" s="2">
        <v>45915.75</v>
      </c>
      <c r="B6188">
        <f>3983.09761981861*(3/4)</f>
        <v>2987.3232148639604</v>
      </c>
    </row>
    <row r="6189" spans="1:2" x14ac:dyDescent="0.3">
      <c r="A6189" s="2">
        <v>45915.791666666657</v>
      </c>
      <c r="B6189">
        <f>4225.5532708742*(3/4)</f>
        <v>3169.1649531556504</v>
      </c>
    </row>
    <row r="6190" spans="1:2" x14ac:dyDescent="0.3">
      <c r="A6190" s="2">
        <v>45915.833333333343</v>
      </c>
      <c r="B6190">
        <f>4119.00005020407*(3/4)</f>
        <v>3089.2500376530561</v>
      </c>
    </row>
    <row r="6191" spans="1:2" x14ac:dyDescent="0.3">
      <c r="A6191" s="2">
        <v>45915.875</v>
      </c>
      <c r="B6191">
        <f>4216.78771214928*(3/4)</f>
        <v>3162.590784111957</v>
      </c>
    </row>
    <row r="6192" spans="1:2" x14ac:dyDescent="0.3">
      <c r="A6192" s="2">
        <v>45915.916666666657</v>
      </c>
      <c r="B6192">
        <f>3964.90451682902*(3/4)</f>
        <v>2973.6783876217669</v>
      </c>
    </row>
    <row r="6193" spans="1:2" x14ac:dyDescent="0.3">
      <c r="A6193" s="2">
        <v>45915.958333333343</v>
      </c>
      <c r="B6193">
        <f>4002.17046413969*(3/4)</f>
        <v>3001.6278481047689</v>
      </c>
    </row>
    <row r="6194" spans="1:2" x14ac:dyDescent="0.3">
      <c r="A6194" s="2">
        <v>45916</v>
      </c>
      <c r="B6194">
        <f>4427.36366954714*(3/4)</f>
        <v>3320.5227521603583</v>
      </c>
    </row>
    <row r="6195" spans="1:2" x14ac:dyDescent="0.3">
      <c r="A6195" s="2">
        <v>45916.041666666657</v>
      </c>
      <c r="B6195">
        <f>4199.96936792654*(3/4)</f>
        <v>3149.9770259449015</v>
      </c>
    </row>
    <row r="6196" spans="1:2" x14ac:dyDescent="0.3">
      <c r="A6196" s="2">
        <v>45916.083333333343</v>
      </c>
      <c r="B6196">
        <f>3793.1427315174*(3/4)</f>
        <v>2844.8570486380495</v>
      </c>
    </row>
    <row r="6197" spans="1:2" x14ac:dyDescent="0.3">
      <c r="A6197" s="2">
        <v>45916.125</v>
      </c>
      <c r="B6197">
        <f>4044.61389273336*(3/4)</f>
        <v>3033.4604195500178</v>
      </c>
    </row>
    <row r="6198" spans="1:2" x14ac:dyDescent="0.3">
      <c r="A6198" s="2">
        <v>45916.166666666657</v>
      </c>
      <c r="B6198">
        <f>4221.62593641156*(3/4)</f>
        <v>3166.2194523086696</v>
      </c>
    </row>
    <row r="6199" spans="1:2" x14ac:dyDescent="0.3">
      <c r="A6199" s="2">
        <v>45916.208333333343</v>
      </c>
      <c r="B6199">
        <f>3743.02567425474*(3/4)</f>
        <v>2807.2692556910574</v>
      </c>
    </row>
    <row r="6200" spans="1:2" x14ac:dyDescent="0.3">
      <c r="A6200" s="2">
        <v>45916.25</v>
      </c>
      <c r="B6200">
        <f>3678.44253794061*(3/4)</f>
        <v>2758.8319034554547</v>
      </c>
    </row>
    <row r="6201" spans="1:2" x14ac:dyDescent="0.3">
      <c r="A6201" s="2">
        <v>45916.291666666657</v>
      </c>
      <c r="B6201">
        <f>4204.18920636038*(3/4)</f>
        <v>3153.1419047702866</v>
      </c>
    </row>
    <row r="6202" spans="1:2" x14ac:dyDescent="0.3">
      <c r="A6202" s="2">
        <v>45916.333333333343</v>
      </c>
      <c r="B6202">
        <f>4649.4519015286*(3/4)</f>
        <v>3487.0889261464531</v>
      </c>
    </row>
    <row r="6203" spans="1:2" x14ac:dyDescent="0.3">
      <c r="A6203" s="2">
        <v>45916.375</v>
      </c>
      <c r="B6203">
        <f>4030.50108699776*(3/4)</f>
        <v>3022.8758152483224</v>
      </c>
    </row>
    <row r="6204" spans="1:2" x14ac:dyDescent="0.3">
      <c r="A6204" s="2">
        <v>45916.416666666657</v>
      </c>
      <c r="B6204">
        <f>4145.78305647958*(3/4)</f>
        <v>3109.3372923596835</v>
      </c>
    </row>
    <row r="6205" spans="1:2" x14ac:dyDescent="0.3">
      <c r="A6205" s="2">
        <v>45916.458333333343</v>
      </c>
      <c r="B6205">
        <f>4142.92986064223*(3/4)</f>
        <v>3107.1973954816717</v>
      </c>
    </row>
    <row r="6206" spans="1:2" x14ac:dyDescent="0.3">
      <c r="A6206" s="2">
        <v>45916.5</v>
      </c>
      <c r="B6206">
        <f>3991.68629503703*(3/4)</f>
        <v>2993.764721277772</v>
      </c>
    </row>
    <row r="6207" spans="1:2" x14ac:dyDescent="0.3">
      <c r="A6207" s="2">
        <v>45916.541666666657</v>
      </c>
      <c r="B6207">
        <f>3868.3783402503*(3/4)</f>
        <v>2901.2837551877242</v>
      </c>
    </row>
    <row r="6208" spans="1:2" x14ac:dyDescent="0.3">
      <c r="A6208" s="2">
        <v>45916.583333333343</v>
      </c>
      <c r="B6208">
        <f>3770.73286588705*(3/4)</f>
        <v>2828.0496494152894</v>
      </c>
    </row>
    <row r="6209" spans="1:2" x14ac:dyDescent="0.3">
      <c r="A6209" s="2">
        <v>45916.625</v>
      </c>
      <c r="B6209">
        <f>4158.26879130075*(3/4)</f>
        <v>3118.7015934755618</v>
      </c>
    </row>
    <row r="6210" spans="1:2" x14ac:dyDescent="0.3">
      <c r="A6210" s="2">
        <v>45916.666666666657</v>
      </c>
      <c r="B6210">
        <f>4190.91339606658*(3/4)</f>
        <v>3143.1850470499326</v>
      </c>
    </row>
    <row r="6211" spans="1:2" x14ac:dyDescent="0.3">
      <c r="A6211" s="2">
        <v>45916.708333333343</v>
      </c>
      <c r="B6211">
        <f>4006.57861304995*(3/4)</f>
        <v>3004.9339597874623</v>
      </c>
    </row>
    <row r="6212" spans="1:2" x14ac:dyDescent="0.3">
      <c r="A6212" s="2">
        <v>45916.75</v>
      </c>
      <c r="B6212">
        <f>3787.18660284548*(3/4)</f>
        <v>2840.38995213411</v>
      </c>
    </row>
    <row r="6213" spans="1:2" x14ac:dyDescent="0.3">
      <c r="A6213" s="2">
        <v>45916.791666666657</v>
      </c>
      <c r="B6213">
        <f>3799.93840573841*(3/4)</f>
        <v>2849.9538043038069</v>
      </c>
    </row>
    <row r="6214" spans="1:2" x14ac:dyDescent="0.3">
      <c r="A6214" s="2">
        <v>45916.833333333343</v>
      </c>
      <c r="B6214">
        <f>3638.01671592998*(3/4)</f>
        <v>2728.5125369474845</v>
      </c>
    </row>
    <row r="6215" spans="1:2" x14ac:dyDescent="0.3">
      <c r="A6215" s="2">
        <v>45916.875</v>
      </c>
      <c r="B6215">
        <f>3943.09688482499*(3/4)</f>
        <v>2957.3226636187464</v>
      </c>
    </row>
    <row r="6216" spans="1:2" x14ac:dyDescent="0.3">
      <c r="A6216" s="2">
        <v>45916.916666666657</v>
      </c>
      <c r="B6216">
        <f>4029.46293224259*(3/4)</f>
        <v>3022.0971991819415</v>
      </c>
    </row>
    <row r="6217" spans="1:2" x14ac:dyDescent="0.3">
      <c r="A6217" s="2">
        <v>45916.958333333343</v>
      </c>
      <c r="B6217">
        <f>3829.35073457204*(3/4)</f>
        <v>2872.0130509290325</v>
      </c>
    </row>
    <row r="6218" spans="1:2" x14ac:dyDescent="0.3">
      <c r="A6218" s="2">
        <v>45917</v>
      </c>
      <c r="B6218">
        <f>3858.26092435579*(3/4)</f>
        <v>2893.695693266845</v>
      </c>
    </row>
    <row r="6219" spans="1:2" x14ac:dyDescent="0.3">
      <c r="A6219" s="2">
        <v>45917.041666666657</v>
      </c>
      <c r="B6219">
        <f>3941.69108271424*(3/4)</f>
        <v>2956.2683120356801</v>
      </c>
    </row>
    <row r="6220" spans="1:2" x14ac:dyDescent="0.3">
      <c r="A6220" s="2">
        <v>45917.083333333343</v>
      </c>
      <c r="B6220">
        <f>3911.33544587695*(3/4)</f>
        <v>2933.5015844077134</v>
      </c>
    </row>
    <row r="6221" spans="1:2" x14ac:dyDescent="0.3">
      <c r="A6221" s="2">
        <v>45917.125</v>
      </c>
      <c r="B6221">
        <f>3883.92801171422*(3/4)</f>
        <v>2912.9460087856673</v>
      </c>
    </row>
    <row r="6222" spans="1:2" x14ac:dyDescent="0.3">
      <c r="A6222" s="2">
        <v>45917.166666666657</v>
      </c>
      <c r="B6222">
        <f>4438.06421866372*(3/4)</f>
        <v>3328.548163997787</v>
      </c>
    </row>
    <row r="6223" spans="1:2" x14ac:dyDescent="0.3">
      <c r="A6223" s="2">
        <v>45917.208333333343</v>
      </c>
      <c r="B6223">
        <f>4089.74949752299*(3/4)</f>
        <v>3067.3121231422415</v>
      </c>
    </row>
    <row r="6224" spans="1:2" x14ac:dyDescent="0.3">
      <c r="A6224" s="2">
        <v>45917.25</v>
      </c>
      <c r="B6224">
        <f>3970.47441924516*(3/4)</f>
        <v>2977.8558144338731</v>
      </c>
    </row>
    <row r="6225" spans="1:2" x14ac:dyDescent="0.3">
      <c r="A6225" s="2">
        <v>45917.291666666657</v>
      </c>
      <c r="B6225">
        <f>4205.6939774861*(3/4)</f>
        <v>3154.2704831145766</v>
      </c>
    </row>
    <row r="6226" spans="1:2" x14ac:dyDescent="0.3">
      <c r="A6226" s="2">
        <v>45917.333333333343</v>
      </c>
      <c r="B6226">
        <f>4260.86046106397*(3/4)</f>
        <v>3195.6453457979806</v>
      </c>
    </row>
    <row r="6227" spans="1:2" x14ac:dyDescent="0.3">
      <c r="A6227" s="2">
        <v>45917.375</v>
      </c>
      <c r="B6227">
        <f>4282.38909645087*(3/4)</f>
        <v>3211.7918223381498</v>
      </c>
    </row>
    <row r="6228" spans="1:2" x14ac:dyDescent="0.3">
      <c r="A6228" s="2">
        <v>45917.416666666657</v>
      </c>
      <c r="B6228">
        <f>4106.21756432453*(3/4)</f>
        <v>3079.6631732433971</v>
      </c>
    </row>
    <row r="6229" spans="1:2" x14ac:dyDescent="0.3">
      <c r="A6229" s="2">
        <v>45917.458333333343</v>
      </c>
      <c r="B6229">
        <f>4179.49107583693*(3/4)</f>
        <v>3134.6183068776973</v>
      </c>
    </row>
    <row r="6230" spans="1:2" x14ac:dyDescent="0.3">
      <c r="A6230" s="2">
        <v>45917.5</v>
      </c>
      <c r="B6230">
        <f>4060.12080740515*(3/4)</f>
        <v>3045.0906055538594</v>
      </c>
    </row>
    <row r="6231" spans="1:2" x14ac:dyDescent="0.3">
      <c r="A6231" s="2">
        <v>45917.541666666657</v>
      </c>
      <c r="B6231">
        <f>4168.40954984613*(3/4)</f>
        <v>3126.3071623846004</v>
      </c>
    </row>
    <row r="6232" spans="1:2" x14ac:dyDescent="0.3">
      <c r="A6232" s="2">
        <v>45917.583333333343</v>
      </c>
      <c r="B6232">
        <f>3877.41248783613*(3/4)</f>
        <v>2908.0593658771004</v>
      </c>
    </row>
    <row r="6233" spans="1:2" x14ac:dyDescent="0.3">
      <c r="A6233" s="2">
        <v>45917.625</v>
      </c>
      <c r="B6233">
        <f>4005.47375624413*(3/4)</f>
        <v>3004.1053171830945</v>
      </c>
    </row>
    <row r="6234" spans="1:2" x14ac:dyDescent="0.3">
      <c r="A6234" s="2">
        <v>45917.666666666657</v>
      </c>
      <c r="B6234">
        <f>3867.51505137274*(3/4)</f>
        <v>2900.636288529558</v>
      </c>
    </row>
    <row r="6235" spans="1:2" x14ac:dyDescent="0.3">
      <c r="A6235" s="2">
        <v>45917.708333333343</v>
      </c>
      <c r="B6235">
        <f>4084.77539430495*(3/4)</f>
        <v>3063.5815457287144</v>
      </c>
    </row>
    <row r="6236" spans="1:2" x14ac:dyDescent="0.3">
      <c r="A6236" s="2">
        <v>45917.75</v>
      </c>
      <c r="B6236">
        <f>4087.49658617385*(3/4)</f>
        <v>3065.6224396303851</v>
      </c>
    </row>
    <row r="6237" spans="1:2" x14ac:dyDescent="0.3">
      <c r="A6237" s="2">
        <v>45917.791666666657</v>
      </c>
      <c r="B6237">
        <f>4212.16107004294*(3/4)</f>
        <v>3159.1208025322048</v>
      </c>
    </row>
    <row r="6238" spans="1:2" x14ac:dyDescent="0.3">
      <c r="A6238" s="2">
        <v>45917.833333333343</v>
      </c>
      <c r="B6238">
        <f>3940.05673937651*(3/4)</f>
        <v>2955.0425545323801</v>
      </c>
    </row>
    <row r="6239" spans="1:2" x14ac:dyDescent="0.3">
      <c r="A6239" s="2">
        <v>45917.875</v>
      </c>
      <c r="B6239">
        <f>4147.85582672484*(3/4)</f>
        <v>3110.8918700436293</v>
      </c>
    </row>
    <row r="6240" spans="1:2" x14ac:dyDescent="0.3">
      <c r="A6240" s="2">
        <v>45917.916666666657</v>
      </c>
      <c r="B6240">
        <f>3872.9472957581*(3/4)</f>
        <v>2904.7104718185733</v>
      </c>
    </row>
    <row r="6241" spans="1:2" x14ac:dyDescent="0.3">
      <c r="A6241" s="2">
        <v>45917.958333333343</v>
      </c>
      <c r="B6241">
        <f>3934.22484339317*(3/4)</f>
        <v>2950.66863254488</v>
      </c>
    </row>
    <row r="6242" spans="1:2" x14ac:dyDescent="0.3">
      <c r="A6242" s="2">
        <v>45918</v>
      </c>
      <c r="B6242">
        <f>4255.61934713134*(3/4)</f>
        <v>3191.7145103485072</v>
      </c>
    </row>
    <row r="6243" spans="1:2" x14ac:dyDescent="0.3">
      <c r="A6243" s="2">
        <v>45918.041666666657</v>
      </c>
      <c r="B6243">
        <f>3755.81700682026*(3/4)</f>
        <v>2816.8627551151935</v>
      </c>
    </row>
    <row r="6244" spans="1:2" x14ac:dyDescent="0.3">
      <c r="A6244" s="2">
        <v>45918.083333333343</v>
      </c>
      <c r="B6244">
        <f>3928.15089871953*(3/4)</f>
        <v>2946.1131740396454</v>
      </c>
    </row>
    <row r="6245" spans="1:2" x14ac:dyDescent="0.3">
      <c r="A6245" s="2">
        <v>45918.125</v>
      </c>
      <c r="B6245">
        <f>3783.40622196765*(3/4)</f>
        <v>2837.5546664757367</v>
      </c>
    </row>
    <row r="6246" spans="1:2" x14ac:dyDescent="0.3">
      <c r="A6246" s="2">
        <v>45918.166666666657</v>
      </c>
      <c r="B6246">
        <f>4296.51614884364*(3/4)</f>
        <v>3222.3871116327332</v>
      </c>
    </row>
    <row r="6247" spans="1:2" x14ac:dyDescent="0.3">
      <c r="A6247" s="2">
        <v>45918.208333333343</v>
      </c>
      <c r="B6247">
        <f>4075.88931379683*(3/4)</f>
        <v>3056.916985347626</v>
      </c>
    </row>
    <row r="6248" spans="1:2" x14ac:dyDescent="0.3">
      <c r="A6248" s="2">
        <v>45918.25</v>
      </c>
      <c r="B6248">
        <f>3790.4485809833*(3/4)</f>
        <v>2842.8364357374721</v>
      </c>
    </row>
    <row r="6249" spans="1:2" x14ac:dyDescent="0.3">
      <c r="A6249" s="2">
        <v>45918.291666666657</v>
      </c>
      <c r="B6249">
        <f>4336.86772866416*(3/4)</f>
        <v>3252.650796498122</v>
      </c>
    </row>
    <row r="6250" spans="1:2" x14ac:dyDescent="0.3">
      <c r="A6250" s="2">
        <v>45918.333333333343</v>
      </c>
      <c r="B6250">
        <f>4151.13174270284*(3/4)</f>
        <v>3113.3488070271296</v>
      </c>
    </row>
    <row r="6251" spans="1:2" x14ac:dyDescent="0.3">
      <c r="A6251" s="2">
        <v>45918.375</v>
      </c>
      <c r="B6251">
        <f>4042.54288891426*(3/4)</f>
        <v>3031.9071666856989</v>
      </c>
    </row>
    <row r="6252" spans="1:2" x14ac:dyDescent="0.3">
      <c r="A6252" s="2">
        <v>45918.416666666657</v>
      </c>
      <c r="B6252">
        <f>4095.55845740641*(3/4)</f>
        <v>3071.6688430548047</v>
      </c>
    </row>
    <row r="6253" spans="1:2" x14ac:dyDescent="0.3">
      <c r="A6253" s="2">
        <v>45918.458333333343</v>
      </c>
      <c r="B6253">
        <f>4063.67794570709*(3/4)</f>
        <v>3047.7584592803196</v>
      </c>
    </row>
    <row r="6254" spans="1:2" x14ac:dyDescent="0.3">
      <c r="A6254" s="2">
        <v>45918.5</v>
      </c>
      <c r="B6254">
        <f>4155.68281379877*(3/4)</f>
        <v>3116.7621103490765</v>
      </c>
    </row>
    <row r="6255" spans="1:2" x14ac:dyDescent="0.3">
      <c r="A6255" s="2">
        <v>45918.541666666657</v>
      </c>
      <c r="B6255">
        <f>4205.45282510478*(3/4)</f>
        <v>3154.0896188285842</v>
      </c>
    </row>
    <row r="6256" spans="1:2" x14ac:dyDescent="0.3">
      <c r="A6256" s="2">
        <v>45918.583333333343</v>
      </c>
      <c r="B6256">
        <f>3708.74548736534*(3/4)</f>
        <v>2781.5591155240013</v>
      </c>
    </row>
    <row r="6257" spans="1:2" x14ac:dyDescent="0.3">
      <c r="A6257" s="2">
        <v>45918.625</v>
      </c>
      <c r="B6257">
        <f>4029.37869752467*(3/4)</f>
        <v>3022.0340231435048</v>
      </c>
    </row>
    <row r="6258" spans="1:2" x14ac:dyDescent="0.3">
      <c r="A6258" s="2">
        <v>45918.666666666657</v>
      </c>
      <c r="B6258">
        <f>3982.57846756224*(3/4)</f>
        <v>2986.9338506716795</v>
      </c>
    </row>
    <row r="6259" spans="1:2" x14ac:dyDescent="0.3">
      <c r="A6259" s="2">
        <v>45918.708333333343</v>
      </c>
      <c r="B6259">
        <f>3868.33701119445*(3/4)</f>
        <v>2901.2527583958399</v>
      </c>
    </row>
    <row r="6260" spans="1:2" x14ac:dyDescent="0.3">
      <c r="A6260" s="2">
        <v>45918.75</v>
      </c>
      <c r="B6260">
        <f>3895.44457299147*(3/4)</f>
        <v>2921.583429743604</v>
      </c>
    </row>
    <row r="6261" spans="1:2" x14ac:dyDescent="0.3">
      <c r="A6261" s="2">
        <v>45918.791666666657</v>
      </c>
      <c r="B6261">
        <f>4199.30931025192*(3/4)</f>
        <v>3149.4819826889361</v>
      </c>
    </row>
    <row r="6262" spans="1:2" x14ac:dyDescent="0.3">
      <c r="A6262" s="2">
        <v>45918.833333333343</v>
      </c>
      <c r="B6262">
        <f>3987.45560383859*(3/4)</f>
        <v>2990.5917028789404</v>
      </c>
    </row>
    <row r="6263" spans="1:2" x14ac:dyDescent="0.3">
      <c r="A6263" s="2">
        <v>45918.875</v>
      </c>
      <c r="B6263">
        <f>4249.7436032493*(3/4)</f>
        <v>3187.3077024369713</v>
      </c>
    </row>
    <row r="6264" spans="1:2" x14ac:dyDescent="0.3">
      <c r="A6264" s="2">
        <v>45918.916666666657</v>
      </c>
      <c r="B6264">
        <f>3616.95329119739*(3/4)</f>
        <v>2712.7149683980447</v>
      </c>
    </row>
    <row r="6265" spans="1:2" x14ac:dyDescent="0.3">
      <c r="A6265" s="2">
        <v>45918.958333333343</v>
      </c>
      <c r="B6265">
        <f>3973.30123475357*(3/4)</f>
        <v>2979.9759260651736</v>
      </c>
    </row>
    <row r="6266" spans="1:2" x14ac:dyDescent="0.3">
      <c r="A6266" s="2">
        <v>45919</v>
      </c>
      <c r="B6266">
        <f>3760.86997380743*(3/4)</f>
        <v>2820.652480355574</v>
      </c>
    </row>
    <row r="6267" spans="1:2" x14ac:dyDescent="0.3">
      <c r="A6267" s="2">
        <v>45919.041666666657</v>
      </c>
      <c r="B6267">
        <f>3926.49147363448*(3/4)</f>
        <v>2944.8686052258581</v>
      </c>
    </row>
    <row r="6268" spans="1:2" x14ac:dyDescent="0.3">
      <c r="A6268" s="2">
        <v>45919.083333333343</v>
      </c>
      <c r="B6268">
        <f>3794.19554259734*(3/4)</f>
        <v>2845.6466569480071</v>
      </c>
    </row>
    <row r="6269" spans="1:2" x14ac:dyDescent="0.3">
      <c r="A6269" s="2">
        <v>45919.125</v>
      </c>
      <c r="B6269">
        <f>3925.22234324603*(3/4)</f>
        <v>2943.9167574345192</v>
      </c>
    </row>
    <row r="6270" spans="1:2" x14ac:dyDescent="0.3">
      <c r="A6270" s="2">
        <v>45919.166666666657</v>
      </c>
      <c r="B6270">
        <f>3659.92227920968*(3/4)</f>
        <v>2744.9417094072624</v>
      </c>
    </row>
    <row r="6271" spans="1:2" x14ac:dyDescent="0.3">
      <c r="A6271" s="2">
        <v>45919.208333333343</v>
      </c>
      <c r="B6271">
        <f>3847.88150724781*(3/4)</f>
        <v>2885.9111304358585</v>
      </c>
    </row>
    <row r="6272" spans="1:2" x14ac:dyDescent="0.3">
      <c r="A6272" s="2">
        <v>45919.25</v>
      </c>
      <c r="B6272">
        <f>3942.61164501517*(3/4)</f>
        <v>2956.9587337613752</v>
      </c>
    </row>
    <row r="6273" spans="1:2" x14ac:dyDescent="0.3">
      <c r="A6273" s="2">
        <v>45919.291666666657</v>
      </c>
      <c r="B6273">
        <f>3838.42737970939*(3/4)</f>
        <v>2878.8205347820431</v>
      </c>
    </row>
    <row r="6274" spans="1:2" x14ac:dyDescent="0.3">
      <c r="A6274" s="2">
        <v>45919.333333333343</v>
      </c>
      <c r="B6274">
        <f>4318.34540534251*(3/4)</f>
        <v>3238.7590540068823</v>
      </c>
    </row>
    <row r="6275" spans="1:2" x14ac:dyDescent="0.3">
      <c r="A6275" s="2">
        <v>45919.375</v>
      </c>
      <c r="B6275">
        <f>3944.13179583717*(3/4)</f>
        <v>2958.0988468778751</v>
      </c>
    </row>
    <row r="6276" spans="1:2" x14ac:dyDescent="0.3">
      <c r="A6276" s="2">
        <v>45919.416666666657</v>
      </c>
      <c r="B6276">
        <f>4008.7472212155*(3/4)</f>
        <v>3006.560415911626</v>
      </c>
    </row>
    <row r="6277" spans="1:2" x14ac:dyDescent="0.3">
      <c r="A6277" s="2">
        <v>45919.458333333343</v>
      </c>
      <c r="B6277">
        <f>3929.82807303375*(3/4)</f>
        <v>2947.3710547753158</v>
      </c>
    </row>
    <row r="6278" spans="1:2" x14ac:dyDescent="0.3">
      <c r="A6278" s="2">
        <v>45919.5</v>
      </c>
      <c r="B6278">
        <f>3940.87293338625*(3/4)</f>
        <v>2955.654700039684</v>
      </c>
    </row>
    <row r="6279" spans="1:2" x14ac:dyDescent="0.3">
      <c r="A6279" s="2">
        <v>45919.541666666657</v>
      </c>
      <c r="B6279">
        <f>3989.74481476291*(3/4)</f>
        <v>2992.3086110721833</v>
      </c>
    </row>
    <row r="6280" spans="1:2" x14ac:dyDescent="0.3">
      <c r="A6280" s="2">
        <v>45919.583333333343</v>
      </c>
      <c r="B6280">
        <f>3814.4898144649*(3/4)</f>
        <v>2860.867360848677</v>
      </c>
    </row>
    <row r="6281" spans="1:2" x14ac:dyDescent="0.3">
      <c r="A6281" s="2">
        <v>45919.625</v>
      </c>
      <c r="B6281">
        <f>4186.80052068086*(3/4)</f>
        <v>3140.1003905106445</v>
      </c>
    </row>
    <row r="6282" spans="1:2" x14ac:dyDescent="0.3">
      <c r="A6282" s="2">
        <v>45919.666666666657</v>
      </c>
      <c r="B6282">
        <f>4081.78305774595*(3/4)</f>
        <v>3061.3372933094656</v>
      </c>
    </row>
    <row r="6283" spans="1:2" x14ac:dyDescent="0.3">
      <c r="A6283" s="2">
        <v>45919.708333333343</v>
      </c>
      <c r="B6283">
        <f>4247.45961032835*(3/4)</f>
        <v>3185.5947077462661</v>
      </c>
    </row>
    <row r="6284" spans="1:2" x14ac:dyDescent="0.3">
      <c r="A6284" s="2">
        <v>45919.75</v>
      </c>
      <c r="B6284">
        <f>3855.60282226099*(3/4)</f>
        <v>2891.7021166957411</v>
      </c>
    </row>
    <row r="6285" spans="1:2" x14ac:dyDescent="0.3">
      <c r="A6285" s="2">
        <v>45919.791666666657</v>
      </c>
      <c r="B6285">
        <f>4061.55225102073*(3/4)</f>
        <v>3046.1641882655504</v>
      </c>
    </row>
    <row r="6286" spans="1:2" x14ac:dyDescent="0.3">
      <c r="A6286" s="2">
        <v>45919.833333333343</v>
      </c>
      <c r="B6286">
        <f>4221.55223061813*(3/4)</f>
        <v>3166.1641729635962</v>
      </c>
    </row>
    <row r="6287" spans="1:2" x14ac:dyDescent="0.3">
      <c r="A6287" s="2">
        <v>45919.875</v>
      </c>
      <c r="B6287">
        <f>3944.37828018483*(3/4)</f>
        <v>2958.2837101386217</v>
      </c>
    </row>
    <row r="6288" spans="1:2" x14ac:dyDescent="0.3">
      <c r="A6288" s="2">
        <v>45919.916666666657</v>
      </c>
      <c r="B6288">
        <f>3787.70322253579*(3/4)</f>
        <v>2840.7774169018462</v>
      </c>
    </row>
    <row r="6289" spans="1:2" x14ac:dyDescent="0.3">
      <c r="A6289" s="2">
        <v>45919.958333333343</v>
      </c>
      <c r="B6289">
        <f>3693.91274771735*(3/4)</f>
        <v>2770.4345607880141</v>
      </c>
    </row>
    <row r="6290" spans="1:2" x14ac:dyDescent="0.3">
      <c r="A6290" s="2">
        <v>45920</v>
      </c>
      <c r="B6290">
        <f>3650.36602007826*(3/4)</f>
        <v>2737.7745150586979</v>
      </c>
    </row>
    <row r="6291" spans="1:2" x14ac:dyDescent="0.3">
      <c r="A6291" s="2">
        <v>45920.041666666657</v>
      </c>
      <c r="B6291">
        <f>3839.72674639256*(3/4)</f>
        <v>2879.79505979442</v>
      </c>
    </row>
    <row r="6292" spans="1:2" x14ac:dyDescent="0.3">
      <c r="A6292" s="2">
        <v>45920.083333333343</v>
      </c>
      <c r="B6292">
        <f>4033.21950913161*(3/4)</f>
        <v>3024.914631848711</v>
      </c>
    </row>
    <row r="6293" spans="1:2" x14ac:dyDescent="0.3">
      <c r="A6293" s="2">
        <v>45920.125</v>
      </c>
      <c r="B6293">
        <f>3802.75339596226*(3/4)</f>
        <v>2852.065046971692</v>
      </c>
    </row>
    <row r="6294" spans="1:2" x14ac:dyDescent="0.3">
      <c r="A6294" s="2">
        <v>45920.166666666657</v>
      </c>
      <c r="B6294">
        <f>4098.33288641361*(3/4)</f>
        <v>3073.7496648102083</v>
      </c>
    </row>
    <row r="6295" spans="1:2" x14ac:dyDescent="0.3">
      <c r="A6295" s="2">
        <v>45920.208333333343</v>
      </c>
      <c r="B6295">
        <f>3734.48332644976*(3/4)</f>
        <v>2800.8624948373222</v>
      </c>
    </row>
    <row r="6296" spans="1:2" x14ac:dyDescent="0.3">
      <c r="A6296" s="2">
        <v>45920.25</v>
      </c>
      <c r="B6296">
        <f>3811.99261510464*(3/4)</f>
        <v>2858.9944613284765</v>
      </c>
    </row>
    <row r="6297" spans="1:2" x14ac:dyDescent="0.3">
      <c r="A6297" s="2">
        <v>45920.291666666657</v>
      </c>
      <c r="B6297">
        <f>3954.72289830384*(3/4)</f>
        <v>2966.0421737278793</v>
      </c>
    </row>
    <row r="6298" spans="1:2" x14ac:dyDescent="0.3">
      <c r="A6298" s="2">
        <v>45920.333333333343</v>
      </c>
      <c r="B6298">
        <f>4081.82584650841*(3/4)</f>
        <v>3061.36938488131</v>
      </c>
    </row>
    <row r="6299" spans="1:2" x14ac:dyDescent="0.3">
      <c r="A6299" s="2">
        <v>45920.375</v>
      </c>
      <c r="B6299">
        <f>4040.05858467356*(3/4)</f>
        <v>3030.0439385051673</v>
      </c>
    </row>
    <row r="6300" spans="1:2" x14ac:dyDescent="0.3">
      <c r="A6300" s="2">
        <v>45920.416666666657</v>
      </c>
      <c r="B6300">
        <f>4223.21580598511*(3/4)</f>
        <v>3167.4118544888343</v>
      </c>
    </row>
    <row r="6301" spans="1:2" x14ac:dyDescent="0.3">
      <c r="A6301" s="2">
        <v>45920.458333333343</v>
      </c>
      <c r="B6301">
        <f>4107.672394381*(3/4)</f>
        <v>3080.7542957857522</v>
      </c>
    </row>
    <row r="6302" spans="1:2" x14ac:dyDescent="0.3">
      <c r="A6302" s="2">
        <v>45920.5</v>
      </c>
      <c r="B6302">
        <f>4515.06216900287*(3/4)</f>
        <v>3386.2966267521506</v>
      </c>
    </row>
    <row r="6303" spans="1:2" x14ac:dyDescent="0.3">
      <c r="A6303" s="2">
        <v>45920.541666666657</v>
      </c>
      <c r="B6303">
        <f>3924.73980145233*(3/4)</f>
        <v>2943.5548510892481</v>
      </c>
    </row>
    <row r="6304" spans="1:2" x14ac:dyDescent="0.3">
      <c r="A6304" s="2">
        <v>45920.583333333343</v>
      </c>
      <c r="B6304">
        <f>3926.98914997326*(3/4)</f>
        <v>2945.2418624799457</v>
      </c>
    </row>
    <row r="6305" spans="1:2" x14ac:dyDescent="0.3">
      <c r="A6305" s="2">
        <v>45920.625</v>
      </c>
      <c r="B6305">
        <f>4038.4517680955*(3/4)</f>
        <v>3028.8388260716229</v>
      </c>
    </row>
    <row r="6306" spans="1:2" x14ac:dyDescent="0.3">
      <c r="A6306" s="2">
        <v>45920.666666666657</v>
      </c>
      <c r="B6306">
        <f>4178.32419957642*(3/4)</f>
        <v>3133.7431496823178</v>
      </c>
    </row>
    <row r="6307" spans="1:2" x14ac:dyDescent="0.3">
      <c r="A6307" s="2">
        <v>45920.708333333343</v>
      </c>
      <c r="B6307">
        <f>4132.89865790049*(3/4)</f>
        <v>3099.6739934253665</v>
      </c>
    </row>
    <row r="6308" spans="1:2" x14ac:dyDescent="0.3">
      <c r="A6308" s="2">
        <v>45920.75</v>
      </c>
      <c r="B6308">
        <f>3794.63174370339*(3/4)</f>
        <v>2845.9738077775446</v>
      </c>
    </row>
    <row r="6309" spans="1:2" x14ac:dyDescent="0.3">
      <c r="A6309" s="2">
        <v>45920.791666666657</v>
      </c>
      <c r="B6309">
        <f>4158.24279519306*(3/4)</f>
        <v>3118.6820963947957</v>
      </c>
    </row>
    <row r="6310" spans="1:2" x14ac:dyDescent="0.3">
      <c r="A6310" s="2">
        <v>45920.833333333343</v>
      </c>
      <c r="B6310">
        <f>4067.97512459813*(3/4)</f>
        <v>3050.9813434485991</v>
      </c>
    </row>
    <row r="6311" spans="1:2" x14ac:dyDescent="0.3">
      <c r="A6311" s="2">
        <v>45920.875</v>
      </c>
      <c r="B6311">
        <f>3811.31219192562*(3/4)</f>
        <v>2858.4841439442112</v>
      </c>
    </row>
    <row r="6312" spans="1:2" x14ac:dyDescent="0.3">
      <c r="A6312" s="2">
        <v>45920.916666666657</v>
      </c>
      <c r="B6312">
        <f>3654.03787852145*(3/4)</f>
        <v>2740.5284088910898</v>
      </c>
    </row>
    <row r="6313" spans="1:2" x14ac:dyDescent="0.3">
      <c r="A6313" s="2">
        <v>45920.958333333343</v>
      </c>
      <c r="B6313">
        <f>4057.9415607472*(3/4)</f>
        <v>3043.4561705604019</v>
      </c>
    </row>
    <row r="6314" spans="1:2" x14ac:dyDescent="0.3">
      <c r="A6314" s="2">
        <v>45921</v>
      </c>
      <c r="B6314">
        <f>3696.25232785197*(3/4)</f>
        <v>2772.1892458889752</v>
      </c>
    </row>
    <row r="6315" spans="1:2" x14ac:dyDescent="0.3">
      <c r="A6315" s="2">
        <v>45921.041666666657</v>
      </c>
      <c r="B6315">
        <f>3755.45263739017*(3/4)</f>
        <v>2816.589478042627</v>
      </c>
    </row>
    <row r="6316" spans="1:2" x14ac:dyDescent="0.3">
      <c r="A6316" s="2">
        <v>45921.083333333343</v>
      </c>
      <c r="B6316">
        <f>3655.28620836084*(3/4)</f>
        <v>2741.4646562706275</v>
      </c>
    </row>
    <row r="6317" spans="1:2" x14ac:dyDescent="0.3">
      <c r="A6317" s="2">
        <v>45921.125</v>
      </c>
      <c r="B6317">
        <f>3963.63918974092*(3/4)</f>
        <v>2972.7293923056886</v>
      </c>
    </row>
    <row r="6318" spans="1:2" x14ac:dyDescent="0.3">
      <c r="A6318" s="2">
        <v>45921.166666666657</v>
      </c>
      <c r="B6318">
        <f>4131.03165147998*(3/4)</f>
        <v>3098.2737386099875</v>
      </c>
    </row>
    <row r="6319" spans="1:2" x14ac:dyDescent="0.3">
      <c r="A6319" s="2">
        <v>45921.208333333343</v>
      </c>
      <c r="B6319">
        <f>3749.46861635913*(3/4)</f>
        <v>2812.1014622693474</v>
      </c>
    </row>
    <row r="6320" spans="1:2" x14ac:dyDescent="0.3">
      <c r="A6320" s="2">
        <v>45921.25</v>
      </c>
      <c r="B6320">
        <f>3715.27338614716*(3/4)</f>
        <v>2786.4550396103714</v>
      </c>
    </row>
    <row r="6321" spans="1:2" x14ac:dyDescent="0.3">
      <c r="A6321" s="2">
        <v>45921.291666666657</v>
      </c>
      <c r="B6321">
        <f>3781.35128358467*(3/4)</f>
        <v>2836.0134626885024</v>
      </c>
    </row>
    <row r="6322" spans="1:2" x14ac:dyDescent="0.3">
      <c r="A6322" s="2">
        <v>45921.333333333343</v>
      </c>
      <c r="B6322">
        <f>3289.94692897215*(3/4)</f>
        <v>2467.4601967291132</v>
      </c>
    </row>
    <row r="6323" spans="1:2" x14ac:dyDescent="0.3">
      <c r="A6323" s="2">
        <v>45921.375</v>
      </c>
      <c r="B6323">
        <f>3316.17105094872*(3/4)</f>
        <v>2487.1282882115402</v>
      </c>
    </row>
    <row r="6324" spans="1:2" x14ac:dyDescent="0.3">
      <c r="A6324" s="2">
        <v>45921.416666666657</v>
      </c>
      <c r="B6324">
        <f>3187.21210663918*(3/4)</f>
        <v>2390.4090799793844</v>
      </c>
    </row>
    <row r="6325" spans="1:2" x14ac:dyDescent="0.3">
      <c r="A6325" s="2">
        <v>45921.458333333343</v>
      </c>
      <c r="B6325">
        <f>3272.67768232841*(3/4)</f>
        <v>2454.5082617463045</v>
      </c>
    </row>
    <row r="6326" spans="1:2" x14ac:dyDescent="0.3">
      <c r="A6326" s="2">
        <v>45921.5</v>
      </c>
      <c r="B6326">
        <f>3232.49303129696*(3/4)</f>
        <v>2424.3697734727207</v>
      </c>
    </row>
    <row r="6327" spans="1:2" x14ac:dyDescent="0.3">
      <c r="A6327" s="2">
        <v>45921.541666666657</v>
      </c>
      <c r="B6327">
        <f>3190.14710300286*(3/4)</f>
        <v>2392.6103272521414</v>
      </c>
    </row>
    <row r="6328" spans="1:2" x14ac:dyDescent="0.3">
      <c r="A6328" s="2">
        <v>45921.583333333343</v>
      </c>
      <c r="B6328">
        <f>2949.63526581926*(3/4)</f>
        <v>2212.2264493644443</v>
      </c>
    </row>
    <row r="6329" spans="1:2" x14ac:dyDescent="0.3">
      <c r="A6329" s="2">
        <v>45921.625</v>
      </c>
      <c r="B6329">
        <f>3348.94273335149*(3/4)</f>
        <v>2511.707050013616</v>
      </c>
    </row>
    <row r="6330" spans="1:2" x14ac:dyDescent="0.3">
      <c r="A6330" s="2">
        <v>45921.666666666657</v>
      </c>
      <c r="B6330">
        <f>3049.84331897573*(3/4)</f>
        <v>2287.3824892317975</v>
      </c>
    </row>
    <row r="6331" spans="1:2" x14ac:dyDescent="0.3">
      <c r="A6331" s="2">
        <v>45921.708333333343</v>
      </c>
      <c r="B6331">
        <f>3888.13503026525*(3/4)</f>
        <v>2916.1012726989361</v>
      </c>
    </row>
    <row r="6332" spans="1:2" x14ac:dyDescent="0.3">
      <c r="A6332" s="2">
        <v>45921.75</v>
      </c>
      <c r="B6332">
        <f>4013.21618778201*(3/4)</f>
        <v>3009.9121408365045</v>
      </c>
    </row>
    <row r="6333" spans="1:2" x14ac:dyDescent="0.3">
      <c r="A6333" s="2">
        <v>45921.791666666657</v>
      </c>
      <c r="B6333">
        <f>3989.42137680191*(3/4)</f>
        <v>2992.0660326014354</v>
      </c>
    </row>
    <row r="6334" spans="1:2" x14ac:dyDescent="0.3">
      <c r="A6334" s="2">
        <v>45921.833333333343</v>
      </c>
      <c r="B6334">
        <f>4272.47851499743*(3/4)</f>
        <v>3204.3588862480692</v>
      </c>
    </row>
    <row r="6335" spans="1:2" x14ac:dyDescent="0.3">
      <c r="A6335" s="2">
        <v>45921.875</v>
      </c>
      <c r="B6335">
        <f>4148.32792293677*(3/4)</f>
        <v>3111.2459422025804</v>
      </c>
    </row>
    <row r="6336" spans="1:2" x14ac:dyDescent="0.3">
      <c r="A6336" s="2">
        <v>45921.916666666657</v>
      </c>
      <c r="B6336">
        <f>3748.35619172696*(3/4)</f>
        <v>2811.2671437952199</v>
      </c>
    </row>
    <row r="6337" spans="1:2" x14ac:dyDescent="0.3">
      <c r="A6337" s="2">
        <v>45921.958333333343</v>
      </c>
      <c r="B6337">
        <f>4032.7026374492*(3/4)</f>
        <v>3024.5269780868966</v>
      </c>
    </row>
    <row r="6338" spans="1:2" x14ac:dyDescent="0.3">
      <c r="A6338" s="2">
        <v>45922</v>
      </c>
      <c r="B6338">
        <f>3851.05445584349*(3/4)</f>
        <v>2888.2908418826205</v>
      </c>
    </row>
    <row r="6339" spans="1:2" x14ac:dyDescent="0.3">
      <c r="A6339" s="2">
        <v>45922.041666666657</v>
      </c>
      <c r="B6339">
        <f>3835.80565417536*(3/4)</f>
        <v>2876.8542406315205</v>
      </c>
    </row>
    <row r="6340" spans="1:2" x14ac:dyDescent="0.3">
      <c r="A6340" s="2">
        <v>45922.083333333343</v>
      </c>
      <c r="B6340">
        <f>3718.80161492921*(3/4)</f>
        <v>2789.1012111969098</v>
      </c>
    </row>
    <row r="6341" spans="1:2" x14ac:dyDescent="0.3">
      <c r="A6341" s="2">
        <v>45922.125</v>
      </c>
      <c r="B6341">
        <f>4031.68570498074*(3/4)</f>
        <v>3023.7642787355549</v>
      </c>
    </row>
    <row r="6342" spans="1:2" x14ac:dyDescent="0.3">
      <c r="A6342" s="2">
        <v>45922.166666666657</v>
      </c>
      <c r="B6342">
        <f>3751.83859561481*(3/4)</f>
        <v>2813.8789467111092</v>
      </c>
    </row>
    <row r="6343" spans="1:2" x14ac:dyDescent="0.3">
      <c r="A6343" s="2">
        <v>45922.208333333343</v>
      </c>
      <c r="B6343">
        <f>3801.69332123426*(3/4)</f>
        <v>2851.269990925698</v>
      </c>
    </row>
    <row r="6344" spans="1:2" x14ac:dyDescent="0.3">
      <c r="A6344" s="2">
        <v>45922.25</v>
      </c>
      <c r="B6344">
        <f>3995.6486767903*(3/4)</f>
        <v>2996.7365075927278</v>
      </c>
    </row>
    <row r="6345" spans="1:2" x14ac:dyDescent="0.3">
      <c r="A6345" s="2">
        <v>45922.291666666657</v>
      </c>
      <c r="B6345">
        <f>3897.08411982944*(3/4)</f>
        <v>2922.8130898720819</v>
      </c>
    </row>
    <row r="6346" spans="1:2" x14ac:dyDescent="0.3">
      <c r="A6346" s="2">
        <v>45922.333333333343</v>
      </c>
      <c r="B6346">
        <f>4271.24782821645*(3/4)</f>
        <v>3203.4358711623377</v>
      </c>
    </row>
    <row r="6347" spans="1:2" x14ac:dyDescent="0.3">
      <c r="A6347" s="2">
        <v>45922.375</v>
      </c>
      <c r="B6347">
        <f>3948.18599299885*(3/4)</f>
        <v>2961.1394947491367</v>
      </c>
    </row>
    <row r="6348" spans="1:2" x14ac:dyDescent="0.3">
      <c r="A6348" s="2">
        <v>45922.416666666657</v>
      </c>
      <c r="B6348">
        <f>4065.82341216242*(3/4)</f>
        <v>3049.3675591218175</v>
      </c>
    </row>
    <row r="6349" spans="1:2" x14ac:dyDescent="0.3">
      <c r="A6349" s="2">
        <v>45922.458333333343</v>
      </c>
      <c r="B6349">
        <f>3944.24735672042*(3/4)</f>
        <v>2958.1855175403143</v>
      </c>
    </row>
    <row r="6350" spans="1:2" x14ac:dyDescent="0.3">
      <c r="A6350" s="2">
        <v>45922.5</v>
      </c>
      <c r="B6350">
        <f>4238.1136792326*(3/4)</f>
        <v>3178.5852594244516</v>
      </c>
    </row>
    <row r="6351" spans="1:2" x14ac:dyDescent="0.3">
      <c r="A6351" s="2">
        <v>45922.541666666657</v>
      </c>
      <c r="B6351">
        <f>3892.9118437373*(3/4)</f>
        <v>2919.6838828029786</v>
      </c>
    </row>
    <row r="6352" spans="1:2" x14ac:dyDescent="0.3">
      <c r="A6352" s="2">
        <v>45922.583333333343</v>
      </c>
      <c r="B6352">
        <f>3980.2668270519*(3/4)</f>
        <v>2985.2001202889228</v>
      </c>
    </row>
    <row r="6353" spans="1:2" x14ac:dyDescent="0.3">
      <c r="A6353" s="2">
        <v>45922.625</v>
      </c>
      <c r="B6353">
        <f>3896.31787324565*(3/4)</f>
        <v>2922.2384049342372</v>
      </c>
    </row>
    <row r="6354" spans="1:2" x14ac:dyDescent="0.3">
      <c r="A6354" s="2">
        <v>45922.666666666657</v>
      </c>
      <c r="B6354">
        <f>4402.90745749738*(3/4)</f>
        <v>3302.1805931230374</v>
      </c>
    </row>
    <row r="6355" spans="1:2" x14ac:dyDescent="0.3">
      <c r="A6355" s="2">
        <v>45922.708333333343</v>
      </c>
      <c r="B6355">
        <f>4064.34563378437*(3/4)</f>
        <v>3048.2592253382791</v>
      </c>
    </row>
    <row r="6356" spans="1:2" x14ac:dyDescent="0.3">
      <c r="A6356" s="2">
        <v>45922.75</v>
      </c>
      <c r="B6356">
        <f>4094.98766092596*(3/4)</f>
        <v>3071.2407456944738</v>
      </c>
    </row>
    <row r="6357" spans="1:2" x14ac:dyDescent="0.3">
      <c r="A6357" s="2">
        <v>45922.791666666657</v>
      </c>
      <c r="B6357">
        <f>4141.44158432314*(3/4)</f>
        <v>3106.0811882423568</v>
      </c>
    </row>
    <row r="6358" spans="1:2" x14ac:dyDescent="0.3">
      <c r="A6358" s="2">
        <v>45922.833333333343</v>
      </c>
      <c r="B6358">
        <f>4051.94519791891*(3/4)</f>
        <v>3038.9588984391848</v>
      </c>
    </row>
    <row r="6359" spans="1:2" x14ac:dyDescent="0.3">
      <c r="A6359" s="2">
        <v>45922.875</v>
      </c>
      <c r="B6359">
        <f>4100.76338763802*(3/4)</f>
        <v>3075.5725407285117</v>
      </c>
    </row>
    <row r="6360" spans="1:2" x14ac:dyDescent="0.3">
      <c r="A6360" s="2">
        <v>45922.916666666657</v>
      </c>
      <c r="B6360">
        <f>4008.1377807057*(3/4)</f>
        <v>3006.1033355292711</v>
      </c>
    </row>
    <row r="6361" spans="1:2" x14ac:dyDescent="0.3">
      <c r="A6361" s="2">
        <v>45922.958333333343</v>
      </c>
      <c r="B6361">
        <f>3693.30567737605*(3/4)</f>
        <v>2769.9792580320391</v>
      </c>
    </row>
    <row r="6362" spans="1:2" x14ac:dyDescent="0.3">
      <c r="A6362" s="2">
        <v>45923</v>
      </c>
      <c r="B6362">
        <f>3598.53808309018*(3/4)</f>
        <v>2698.9035623176351</v>
      </c>
    </row>
    <row r="6363" spans="1:2" x14ac:dyDescent="0.3">
      <c r="A6363" s="2">
        <v>45923.041666666657</v>
      </c>
      <c r="B6363">
        <f>3960.2904109715*(3/4)</f>
        <v>2970.2178082286282</v>
      </c>
    </row>
    <row r="6364" spans="1:2" x14ac:dyDescent="0.3">
      <c r="A6364" s="2">
        <v>45923.083333333343</v>
      </c>
      <c r="B6364">
        <f>4019.60620651319*(3/4)</f>
        <v>3014.7046548848889</v>
      </c>
    </row>
    <row r="6365" spans="1:2" x14ac:dyDescent="0.3">
      <c r="A6365" s="2">
        <v>45923.125</v>
      </c>
      <c r="B6365">
        <f>3987.90915015649*(3/4)</f>
        <v>2990.9318626173704</v>
      </c>
    </row>
    <row r="6366" spans="1:2" x14ac:dyDescent="0.3">
      <c r="A6366" s="2">
        <v>45923.166666666657</v>
      </c>
      <c r="B6366">
        <f>4167.11477492039*(3/4)</f>
        <v>3125.336081190294</v>
      </c>
    </row>
    <row r="6367" spans="1:2" x14ac:dyDescent="0.3">
      <c r="A6367" s="2">
        <v>45923.208333333343</v>
      </c>
      <c r="B6367">
        <f>4120.28952328804*(3/4)</f>
        <v>3090.2171424660291</v>
      </c>
    </row>
    <row r="6368" spans="1:2" x14ac:dyDescent="0.3">
      <c r="A6368" s="2">
        <v>45923.25</v>
      </c>
      <c r="B6368">
        <f>3964.77360030913*(3/4)</f>
        <v>2973.580200231846</v>
      </c>
    </row>
    <row r="6369" spans="1:2" x14ac:dyDescent="0.3">
      <c r="A6369" s="2">
        <v>45923.291666666657</v>
      </c>
      <c r="B6369">
        <f>4307.15834851883*(3/4)</f>
        <v>3230.3687613891207</v>
      </c>
    </row>
    <row r="6370" spans="1:2" x14ac:dyDescent="0.3">
      <c r="A6370" s="2">
        <v>45923.333333333343</v>
      </c>
      <c r="B6370">
        <f>3885.18942444002*(3/4)</f>
        <v>2913.8920683300121</v>
      </c>
    </row>
    <row r="6371" spans="1:2" x14ac:dyDescent="0.3">
      <c r="A6371" s="2">
        <v>45923.375</v>
      </c>
      <c r="B6371">
        <f>4127.45224560231*(3/4)</f>
        <v>3095.5891842017345</v>
      </c>
    </row>
    <row r="6372" spans="1:2" x14ac:dyDescent="0.3">
      <c r="A6372" s="2">
        <v>45923.416666666657</v>
      </c>
      <c r="B6372">
        <f>4038.2390863407*(3/4)</f>
        <v>3028.679314755525</v>
      </c>
    </row>
    <row r="6373" spans="1:2" x14ac:dyDescent="0.3">
      <c r="A6373" s="2">
        <v>45923.458333333343</v>
      </c>
      <c r="B6373">
        <f>4098.56543199128*(3/4)</f>
        <v>3073.9240739934567</v>
      </c>
    </row>
    <row r="6374" spans="1:2" x14ac:dyDescent="0.3">
      <c r="A6374" s="2">
        <v>45923.5</v>
      </c>
      <c r="B6374">
        <f>4343.58346217803*(3/4)</f>
        <v>3257.6875966335238</v>
      </c>
    </row>
    <row r="6375" spans="1:2" x14ac:dyDescent="0.3">
      <c r="A6375" s="2">
        <v>45923.541666666657</v>
      </c>
      <c r="B6375">
        <f>4080.63928907042*(3/4)</f>
        <v>3060.4794668028171</v>
      </c>
    </row>
    <row r="6376" spans="1:2" x14ac:dyDescent="0.3">
      <c r="A6376" s="2">
        <v>45923.583333333343</v>
      </c>
      <c r="B6376">
        <f>3949.1277734837*(3/4)</f>
        <v>2961.845830112773</v>
      </c>
    </row>
    <row r="6377" spans="1:2" x14ac:dyDescent="0.3">
      <c r="A6377" s="2">
        <v>45923.625</v>
      </c>
      <c r="B6377">
        <f>3990.80139473716*(3/4)</f>
        <v>2993.1010460528664</v>
      </c>
    </row>
    <row r="6378" spans="1:2" x14ac:dyDescent="0.3">
      <c r="A6378" s="2">
        <v>45923.666666666657</v>
      </c>
      <c r="B6378">
        <f>4187.82831346973*(3/4)</f>
        <v>3140.8712351022969</v>
      </c>
    </row>
    <row r="6379" spans="1:2" x14ac:dyDescent="0.3">
      <c r="A6379" s="2">
        <v>45923.708333333343</v>
      </c>
      <c r="B6379">
        <f>4298.39041225163*(3/4)</f>
        <v>3223.7928091887229</v>
      </c>
    </row>
    <row r="6380" spans="1:2" x14ac:dyDescent="0.3">
      <c r="A6380" s="2">
        <v>45923.75</v>
      </c>
      <c r="B6380">
        <f>4226.15427135416*(3/4)</f>
        <v>3169.6157035156184</v>
      </c>
    </row>
    <row r="6381" spans="1:2" x14ac:dyDescent="0.3">
      <c r="A6381" s="2">
        <v>45923.791666666657</v>
      </c>
      <c r="B6381">
        <f>3990.15097977563*(3/4)</f>
        <v>2992.6132348317196</v>
      </c>
    </row>
    <row r="6382" spans="1:2" x14ac:dyDescent="0.3">
      <c r="A6382" s="2">
        <v>45923.833333333343</v>
      </c>
      <c r="B6382">
        <f>4318.37823084602*(3/4)</f>
        <v>3238.7836731345169</v>
      </c>
    </row>
    <row r="6383" spans="1:2" x14ac:dyDescent="0.3">
      <c r="A6383" s="2">
        <v>45923.875</v>
      </c>
      <c r="B6383">
        <f>4243.33185530697*(3/4)</f>
        <v>3182.4988914802252</v>
      </c>
    </row>
    <row r="6384" spans="1:2" x14ac:dyDescent="0.3">
      <c r="A6384" s="2">
        <v>45923.916666666657</v>
      </c>
      <c r="B6384">
        <f>3672.89787673996*(3/4)</f>
        <v>2754.6734075549666</v>
      </c>
    </row>
    <row r="6385" spans="1:2" x14ac:dyDescent="0.3">
      <c r="A6385" s="2">
        <v>45923.958333333343</v>
      </c>
      <c r="B6385">
        <f>3825.88590527868*(3/4)</f>
        <v>2869.4144289590113</v>
      </c>
    </row>
    <row r="6386" spans="1:2" x14ac:dyDescent="0.3">
      <c r="A6386" s="2">
        <v>45924</v>
      </c>
      <c r="B6386">
        <f>3826.02070583068*(3/4)</f>
        <v>2869.5155293730086</v>
      </c>
    </row>
    <row r="6387" spans="1:2" x14ac:dyDescent="0.3">
      <c r="A6387" s="2">
        <v>45924.041666666657</v>
      </c>
      <c r="B6387">
        <f>3794.84329978531*(3/4)</f>
        <v>2846.1324748389807</v>
      </c>
    </row>
    <row r="6388" spans="1:2" x14ac:dyDescent="0.3">
      <c r="A6388" s="2">
        <v>45924.083333333343</v>
      </c>
      <c r="B6388">
        <f>3944.48068305353*(3/4)</f>
        <v>2958.3605122901463</v>
      </c>
    </row>
    <row r="6389" spans="1:2" x14ac:dyDescent="0.3">
      <c r="A6389" s="2">
        <v>45924.125</v>
      </c>
      <c r="B6389">
        <f>3743.41082153374*(3/4)</f>
        <v>2807.5581161503064</v>
      </c>
    </row>
    <row r="6390" spans="1:2" x14ac:dyDescent="0.3">
      <c r="A6390" s="2">
        <v>45924.166666666657</v>
      </c>
      <c r="B6390">
        <f>4050.09342432421*(3/4)</f>
        <v>3037.570068243157</v>
      </c>
    </row>
    <row r="6391" spans="1:2" x14ac:dyDescent="0.3">
      <c r="A6391" s="2">
        <v>45924.208333333343</v>
      </c>
      <c r="B6391">
        <f>4085.25059621343*(3/4)</f>
        <v>3063.937947160071</v>
      </c>
    </row>
    <row r="6392" spans="1:2" x14ac:dyDescent="0.3">
      <c r="A6392" s="2">
        <v>45924.25</v>
      </c>
      <c r="B6392">
        <f>3673.44607107892*(3/4)</f>
        <v>2755.084553309187</v>
      </c>
    </row>
    <row r="6393" spans="1:2" x14ac:dyDescent="0.3">
      <c r="A6393" s="2">
        <v>45924.291666666657</v>
      </c>
      <c r="B6393">
        <f>4276.85604369676*(3/4)</f>
        <v>3207.6420327725673</v>
      </c>
    </row>
    <row r="6394" spans="1:2" x14ac:dyDescent="0.3">
      <c r="A6394" s="2">
        <v>45924.333333333343</v>
      </c>
      <c r="B6394">
        <f>4233.88239820344*(3/4)</f>
        <v>3175.4117986525807</v>
      </c>
    </row>
    <row r="6395" spans="1:2" x14ac:dyDescent="0.3">
      <c r="A6395" s="2">
        <v>45924.375</v>
      </c>
      <c r="B6395">
        <f>3788.18958725961*(3/4)</f>
        <v>2841.1421904447038</v>
      </c>
    </row>
    <row r="6396" spans="1:2" x14ac:dyDescent="0.3">
      <c r="A6396" s="2">
        <v>45924.416666666657</v>
      </c>
      <c r="B6396">
        <f>4085.78506761264*(3/4)</f>
        <v>3064.3388007094786</v>
      </c>
    </row>
    <row r="6397" spans="1:2" x14ac:dyDescent="0.3">
      <c r="A6397" s="2">
        <v>45924.458333333343</v>
      </c>
      <c r="B6397">
        <f>3909.4685225539*(3/4)</f>
        <v>2932.1013919154229</v>
      </c>
    </row>
    <row r="6398" spans="1:2" x14ac:dyDescent="0.3">
      <c r="A6398" s="2">
        <v>45924.5</v>
      </c>
      <c r="B6398">
        <f>4409.80552841879*(3/4)</f>
        <v>3307.35414631409</v>
      </c>
    </row>
    <row r="6399" spans="1:2" x14ac:dyDescent="0.3">
      <c r="A6399" s="2">
        <v>45924.541666666657</v>
      </c>
      <c r="B6399">
        <f>4090.18936054421*(3/4)</f>
        <v>3067.6420204081583</v>
      </c>
    </row>
    <row r="6400" spans="1:2" x14ac:dyDescent="0.3">
      <c r="A6400" s="2">
        <v>45924.583333333343</v>
      </c>
      <c r="B6400">
        <f>3673.455868191*(3/4)</f>
        <v>2755.0919011432516</v>
      </c>
    </row>
    <row r="6401" spans="1:2" x14ac:dyDescent="0.3">
      <c r="A6401" s="2">
        <v>45924.625</v>
      </c>
      <c r="B6401">
        <f>3988.88747878715*(3/4)</f>
        <v>2991.6656090903648</v>
      </c>
    </row>
    <row r="6402" spans="1:2" x14ac:dyDescent="0.3">
      <c r="A6402" s="2">
        <v>45924.666666666657</v>
      </c>
      <c r="B6402">
        <f>3880.84931441995*(3/4)</f>
        <v>2910.6369858149633</v>
      </c>
    </row>
    <row r="6403" spans="1:2" x14ac:dyDescent="0.3">
      <c r="A6403" s="2">
        <v>45924.708333333343</v>
      </c>
      <c r="B6403">
        <f>4061.46204808542*(3/4)</f>
        <v>3046.0965360640612</v>
      </c>
    </row>
    <row r="6404" spans="1:2" x14ac:dyDescent="0.3">
      <c r="A6404" s="2">
        <v>45924.75</v>
      </c>
      <c r="B6404">
        <f>3950.081433656*(3/4)</f>
        <v>2962.5610752420007</v>
      </c>
    </row>
    <row r="6405" spans="1:2" x14ac:dyDescent="0.3">
      <c r="A6405" s="2">
        <v>45924.791666666657</v>
      </c>
      <c r="B6405">
        <f>3967.32846765216*(3/4)</f>
        <v>2975.4963507391194</v>
      </c>
    </row>
    <row r="6406" spans="1:2" x14ac:dyDescent="0.3">
      <c r="A6406" s="2">
        <v>45924.833333333343</v>
      </c>
      <c r="B6406">
        <f>4127.1726845402*(3/4)</f>
        <v>3095.3795134051466</v>
      </c>
    </row>
    <row r="6407" spans="1:2" x14ac:dyDescent="0.3">
      <c r="A6407" s="2">
        <v>45924.875</v>
      </c>
      <c r="B6407">
        <f>3958.2353224232*(3/4)</f>
        <v>2968.6764918173972</v>
      </c>
    </row>
    <row r="6408" spans="1:2" x14ac:dyDescent="0.3">
      <c r="A6408" s="2">
        <v>45924.916666666657</v>
      </c>
      <c r="B6408">
        <f>3902.8922484516*(3/4)</f>
        <v>2927.1691863386968</v>
      </c>
    </row>
    <row r="6409" spans="1:2" x14ac:dyDescent="0.3">
      <c r="A6409" s="2">
        <v>45924.958333333343</v>
      </c>
      <c r="B6409">
        <f>4095.54769170312*(3/4)</f>
        <v>3071.6607687773385</v>
      </c>
    </row>
    <row r="6410" spans="1:2" x14ac:dyDescent="0.3">
      <c r="A6410" s="2">
        <v>45925</v>
      </c>
      <c r="B6410">
        <f>3965.49673173977*(3/4)</f>
        <v>2974.1225488048262</v>
      </c>
    </row>
    <row r="6411" spans="1:2" x14ac:dyDescent="0.3">
      <c r="A6411" s="2">
        <v>45925.041666666657</v>
      </c>
      <c r="B6411">
        <f>4000.82146727502*(3/4)</f>
        <v>3000.6161004562637</v>
      </c>
    </row>
    <row r="6412" spans="1:2" x14ac:dyDescent="0.3">
      <c r="A6412" s="2">
        <v>45925.083333333343</v>
      </c>
      <c r="B6412">
        <f>4232.38525980097*(3/4)</f>
        <v>3174.2889448507294</v>
      </c>
    </row>
    <row r="6413" spans="1:2" x14ac:dyDescent="0.3">
      <c r="A6413" s="2">
        <v>45925.125</v>
      </c>
      <c r="B6413">
        <f>4071.86354687206*(3/4)</f>
        <v>3053.8976601540489</v>
      </c>
    </row>
    <row r="6414" spans="1:2" x14ac:dyDescent="0.3">
      <c r="A6414" s="2">
        <v>45925.166666666657</v>
      </c>
      <c r="B6414">
        <f>4171.91194941768*(3/4)</f>
        <v>3128.93396206326</v>
      </c>
    </row>
    <row r="6415" spans="1:2" x14ac:dyDescent="0.3">
      <c r="A6415" s="2">
        <v>45925.208333333343</v>
      </c>
      <c r="B6415">
        <f>4187.03629191763*(3/4)</f>
        <v>3140.2772189382222</v>
      </c>
    </row>
    <row r="6416" spans="1:2" x14ac:dyDescent="0.3">
      <c r="A6416" s="2">
        <v>45925.25</v>
      </c>
      <c r="B6416">
        <f>3627.06025031898*(3/4)</f>
        <v>2720.2951877392379</v>
      </c>
    </row>
    <row r="6417" spans="1:2" x14ac:dyDescent="0.3">
      <c r="A6417" s="2">
        <v>45925.291666666657</v>
      </c>
      <c r="B6417">
        <f>4112.61484744347*(3/4)</f>
        <v>3084.4611355826064</v>
      </c>
    </row>
    <row r="6418" spans="1:2" x14ac:dyDescent="0.3">
      <c r="A6418" s="2">
        <v>45925.333333333343</v>
      </c>
      <c r="B6418">
        <f>3947.83105267677*(3/4)</f>
        <v>2960.8732895075768</v>
      </c>
    </row>
    <row r="6419" spans="1:2" x14ac:dyDescent="0.3">
      <c r="A6419" s="2">
        <v>45925.375</v>
      </c>
      <c r="B6419">
        <f>4025.10101339665*(3/4)</f>
        <v>3018.8257600474899</v>
      </c>
    </row>
    <row r="6420" spans="1:2" x14ac:dyDescent="0.3">
      <c r="A6420" s="2">
        <v>45925.416666666657</v>
      </c>
      <c r="B6420">
        <f>3902.84006788226*(3/4)</f>
        <v>2927.1300509116986</v>
      </c>
    </row>
    <row r="6421" spans="1:2" x14ac:dyDescent="0.3">
      <c r="A6421" s="2">
        <v>45925.458333333343</v>
      </c>
      <c r="B6421">
        <f>3862.09571521307*(3/4)</f>
        <v>2896.5717864097996</v>
      </c>
    </row>
    <row r="6422" spans="1:2" x14ac:dyDescent="0.3">
      <c r="A6422" s="2">
        <v>45925.5</v>
      </c>
      <c r="B6422">
        <f>4160.45876931484*(3/4)</f>
        <v>3120.3440769861263</v>
      </c>
    </row>
    <row r="6423" spans="1:2" x14ac:dyDescent="0.3">
      <c r="A6423" s="2">
        <v>45925.541666666657</v>
      </c>
      <c r="B6423">
        <f>4086.09633400417*(3/4)</f>
        <v>3064.5722505031304</v>
      </c>
    </row>
    <row r="6424" spans="1:2" x14ac:dyDescent="0.3">
      <c r="A6424" s="2">
        <v>45925.583333333343</v>
      </c>
      <c r="B6424">
        <f>3896.59834749387*(3/4)</f>
        <v>2922.4487606204011</v>
      </c>
    </row>
    <row r="6425" spans="1:2" x14ac:dyDescent="0.3">
      <c r="A6425" s="2">
        <v>45925.625</v>
      </c>
      <c r="B6425">
        <f>4031.32749382253*(3/4)</f>
        <v>3023.4956203668976</v>
      </c>
    </row>
    <row r="6426" spans="1:2" x14ac:dyDescent="0.3">
      <c r="A6426" s="2">
        <v>45925.666666666657</v>
      </c>
      <c r="B6426">
        <f>3937.96930574494*(3/4)</f>
        <v>2953.4769793087066</v>
      </c>
    </row>
    <row r="6427" spans="1:2" x14ac:dyDescent="0.3">
      <c r="A6427" s="2">
        <v>45925.708333333343</v>
      </c>
      <c r="B6427">
        <f>4132.72888414603*(3/4)</f>
        <v>3099.5466631095214</v>
      </c>
    </row>
    <row r="6428" spans="1:2" x14ac:dyDescent="0.3">
      <c r="A6428" s="2">
        <v>45925.75</v>
      </c>
      <c r="B6428">
        <f>3896.29651420991*(3/4)</f>
        <v>2922.2223856574319</v>
      </c>
    </row>
    <row r="6429" spans="1:2" x14ac:dyDescent="0.3">
      <c r="A6429" s="2">
        <v>45925.791666666657</v>
      </c>
      <c r="B6429">
        <f>4256.60274961519*(3/4)</f>
        <v>3192.452062211396</v>
      </c>
    </row>
    <row r="6430" spans="1:2" x14ac:dyDescent="0.3">
      <c r="A6430" s="2">
        <v>45925.833333333343</v>
      </c>
      <c r="B6430">
        <f>4415.70500329935*(3/4)</f>
        <v>3311.7787524745145</v>
      </c>
    </row>
    <row r="6431" spans="1:2" x14ac:dyDescent="0.3">
      <c r="A6431" s="2">
        <v>45925.875</v>
      </c>
      <c r="B6431">
        <f>3851.09216630263*(3/4)</f>
        <v>2888.319124726971</v>
      </c>
    </row>
    <row r="6432" spans="1:2" x14ac:dyDescent="0.3">
      <c r="A6432" s="2">
        <v>45925.916666666657</v>
      </c>
      <c r="B6432">
        <f>3780.06331868486*(3/4)</f>
        <v>2835.0474890136466</v>
      </c>
    </row>
    <row r="6433" spans="1:2" x14ac:dyDescent="0.3">
      <c r="A6433" s="2">
        <v>45925.958333333343</v>
      </c>
      <c r="B6433">
        <f>3963.12933054403*(3/4)</f>
        <v>2972.3469979080264</v>
      </c>
    </row>
    <row r="6434" spans="1:2" x14ac:dyDescent="0.3">
      <c r="A6434" s="2">
        <v>45926</v>
      </c>
      <c r="B6434">
        <f>3967.52292871585*(3/4)</f>
        <v>2975.6421965368913</v>
      </c>
    </row>
    <row r="6435" spans="1:2" x14ac:dyDescent="0.3">
      <c r="A6435" s="2">
        <v>45926.041666666657</v>
      </c>
      <c r="B6435">
        <f>3885.96942716598*(3/4)</f>
        <v>2914.4770703744825</v>
      </c>
    </row>
    <row r="6436" spans="1:2" x14ac:dyDescent="0.3">
      <c r="A6436" s="2">
        <v>45926.083333333343</v>
      </c>
      <c r="B6436">
        <f>3772.04918964949*(3/4)</f>
        <v>2829.0368922371167</v>
      </c>
    </row>
    <row r="6437" spans="1:2" x14ac:dyDescent="0.3">
      <c r="A6437" s="2">
        <v>45926.125</v>
      </c>
      <c r="B6437">
        <f>4054.00636262248*(3/4)</f>
        <v>3040.5047719668632</v>
      </c>
    </row>
    <row r="6438" spans="1:2" x14ac:dyDescent="0.3">
      <c r="A6438" s="2">
        <v>45926.166666666657</v>
      </c>
      <c r="B6438">
        <f>4121.89728775824*(3/4)</f>
        <v>3091.4229658186832</v>
      </c>
    </row>
    <row r="6439" spans="1:2" x14ac:dyDescent="0.3">
      <c r="A6439" s="2">
        <v>45926.208333333343</v>
      </c>
      <c r="B6439">
        <f>3933.82161814463*(3/4)</f>
        <v>2950.3662136084718</v>
      </c>
    </row>
    <row r="6440" spans="1:2" x14ac:dyDescent="0.3">
      <c r="A6440" s="2">
        <v>45926.25</v>
      </c>
      <c r="B6440">
        <f>3995.57187469407*(3/4)</f>
        <v>2996.6789060205497</v>
      </c>
    </row>
    <row r="6441" spans="1:2" x14ac:dyDescent="0.3">
      <c r="A6441" s="2">
        <v>45926.291666666657</v>
      </c>
      <c r="B6441">
        <f>3961.93048350809*(3/4)</f>
        <v>2971.4478626310697</v>
      </c>
    </row>
    <row r="6442" spans="1:2" x14ac:dyDescent="0.3">
      <c r="A6442" s="2">
        <v>45926.333333333343</v>
      </c>
      <c r="B6442">
        <f>4480.22012683603*(3/4)</f>
        <v>3360.1650951270212</v>
      </c>
    </row>
    <row r="6443" spans="1:2" x14ac:dyDescent="0.3">
      <c r="A6443" s="2">
        <v>45926.375</v>
      </c>
      <c r="B6443">
        <f>4124.23792461817*(3/4)</f>
        <v>3093.1784434636288</v>
      </c>
    </row>
    <row r="6444" spans="1:2" x14ac:dyDescent="0.3">
      <c r="A6444" s="2">
        <v>45926.416666666657</v>
      </c>
      <c r="B6444">
        <f>3900.12701411282*(3/4)</f>
        <v>2925.0952605846123</v>
      </c>
    </row>
    <row r="6445" spans="1:2" x14ac:dyDescent="0.3">
      <c r="A6445" s="2">
        <v>45926.458333333343</v>
      </c>
      <c r="B6445">
        <f>4292.33832712901*(3/4)</f>
        <v>3219.2537453467567</v>
      </c>
    </row>
    <row r="6446" spans="1:2" x14ac:dyDescent="0.3">
      <c r="A6446" s="2">
        <v>45926.5</v>
      </c>
      <c r="B6446">
        <f>4536.85272593952*(3/4)</f>
        <v>3402.6395444546411</v>
      </c>
    </row>
    <row r="6447" spans="1:2" x14ac:dyDescent="0.3">
      <c r="A6447" s="2">
        <v>45926.541666666657</v>
      </c>
      <c r="B6447">
        <f>3873.33663813336*(3/4)</f>
        <v>2905.0024786000222</v>
      </c>
    </row>
    <row r="6448" spans="1:2" x14ac:dyDescent="0.3">
      <c r="A6448" s="2">
        <v>45926.583333333343</v>
      </c>
      <c r="B6448">
        <f>3658.16734465191*(3/4)</f>
        <v>2743.6255084889317</v>
      </c>
    </row>
    <row r="6449" spans="1:2" x14ac:dyDescent="0.3">
      <c r="A6449" s="2">
        <v>45926.625</v>
      </c>
      <c r="B6449">
        <f>4076.36330342687*(3/4)</f>
        <v>3057.2724775701527</v>
      </c>
    </row>
    <row r="6450" spans="1:2" x14ac:dyDescent="0.3">
      <c r="A6450" s="2">
        <v>45926.666666666657</v>
      </c>
      <c r="B6450">
        <f>4322.86668026605*(3/4)</f>
        <v>3242.1500101995371</v>
      </c>
    </row>
    <row r="6451" spans="1:2" x14ac:dyDescent="0.3">
      <c r="A6451" s="2">
        <v>45926.708333333343</v>
      </c>
      <c r="B6451">
        <f>4219.92241240673*(3/4)</f>
        <v>3164.9418093050463</v>
      </c>
    </row>
    <row r="6452" spans="1:2" x14ac:dyDescent="0.3">
      <c r="A6452" s="2">
        <v>45926.75</v>
      </c>
      <c r="B6452">
        <f>3971.29544680057*(3/4)</f>
        <v>2978.4715851004307</v>
      </c>
    </row>
    <row r="6453" spans="1:2" x14ac:dyDescent="0.3">
      <c r="A6453" s="2">
        <v>45926.791666666657</v>
      </c>
      <c r="B6453">
        <f>4056.80737728246*(3/4)</f>
        <v>3042.6055329618439</v>
      </c>
    </row>
    <row r="6454" spans="1:2" x14ac:dyDescent="0.3">
      <c r="A6454" s="2">
        <v>45926.833333333343</v>
      </c>
      <c r="B6454">
        <f>3778.83313531089*(3/4)</f>
        <v>2834.1248514831641</v>
      </c>
    </row>
    <row r="6455" spans="1:2" x14ac:dyDescent="0.3">
      <c r="A6455" s="2">
        <v>45926.875</v>
      </c>
      <c r="B6455">
        <f>4012.23576882358*(3/4)</f>
        <v>3009.1768266176864</v>
      </c>
    </row>
    <row r="6456" spans="1:2" x14ac:dyDescent="0.3">
      <c r="A6456" s="2">
        <v>45926.916666666657</v>
      </c>
      <c r="B6456">
        <f>3884.8521070036*(3/4)</f>
        <v>2913.6390802527017</v>
      </c>
    </row>
    <row r="6457" spans="1:2" x14ac:dyDescent="0.3">
      <c r="A6457" s="2">
        <v>45926.958333333343</v>
      </c>
      <c r="B6457">
        <f>3725.99868638536*(3/4)</f>
        <v>2794.4990147890162</v>
      </c>
    </row>
    <row r="6458" spans="1:2" x14ac:dyDescent="0.3">
      <c r="A6458" s="2">
        <v>45927</v>
      </c>
      <c r="B6458">
        <f>4257.63162560595*(3/4)</f>
        <v>3193.2237192044649</v>
      </c>
    </row>
    <row r="6459" spans="1:2" x14ac:dyDescent="0.3">
      <c r="A6459" s="2">
        <v>45927.041666666657</v>
      </c>
      <c r="B6459">
        <f>3699.14705814934*(3/4)</f>
        <v>2774.3602936120028</v>
      </c>
    </row>
    <row r="6460" spans="1:2" x14ac:dyDescent="0.3">
      <c r="A6460" s="2">
        <v>45927.083333333343</v>
      </c>
      <c r="B6460">
        <f>3677.17759495919*(3/4)</f>
        <v>2757.8831962193926</v>
      </c>
    </row>
    <row r="6461" spans="1:2" x14ac:dyDescent="0.3">
      <c r="A6461" s="2">
        <v>45927.125</v>
      </c>
      <c r="B6461">
        <f>3735.7731495478*(3/4)</f>
        <v>2801.8298621608492</v>
      </c>
    </row>
    <row r="6462" spans="1:2" x14ac:dyDescent="0.3">
      <c r="A6462" s="2">
        <v>45927.166666666657</v>
      </c>
      <c r="B6462">
        <f>3753.31966497851*(3/4)</f>
        <v>2814.9897487338858</v>
      </c>
    </row>
    <row r="6463" spans="1:2" x14ac:dyDescent="0.3">
      <c r="A6463" s="2">
        <v>45927.208333333343</v>
      </c>
      <c r="B6463">
        <f>3818.12004495487*(3/4)</f>
        <v>2863.5900337161488</v>
      </c>
    </row>
    <row r="6464" spans="1:2" x14ac:dyDescent="0.3">
      <c r="A6464" s="2">
        <v>45927.25</v>
      </c>
      <c r="B6464">
        <f>3902.69717613602*(3/4)</f>
        <v>2927.0228821020155</v>
      </c>
    </row>
    <row r="6465" spans="1:2" x14ac:dyDescent="0.3">
      <c r="A6465" s="2">
        <v>45927.291666666657</v>
      </c>
      <c r="B6465">
        <f>4168.64484002821*(3/4)</f>
        <v>3126.48363002116</v>
      </c>
    </row>
    <row r="6466" spans="1:2" x14ac:dyDescent="0.3">
      <c r="A6466" s="2">
        <v>45927.333333333343</v>
      </c>
      <c r="B6466">
        <f>4446.93339991387*(3/4)</f>
        <v>3335.2000499354017</v>
      </c>
    </row>
    <row r="6467" spans="1:2" x14ac:dyDescent="0.3">
      <c r="A6467" s="2">
        <v>45927.375</v>
      </c>
      <c r="B6467">
        <f>3910.31165638618*(3/4)</f>
        <v>2932.733742289638</v>
      </c>
    </row>
    <row r="6468" spans="1:2" x14ac:dyDescent="0.3">
      <c r="A6468" s="2">
        <v>45927.416666666657</v>
      </c>
      <c r="B6468">
        <f>3963.68549074855*(3/4)</f>
        <v>2972.7641180614155</v>
      </c>
    </row>
    <row r="6469" spans="1:2" x14ac:dyDescent="0.3">
      <c r="A6469" s="2">
        <v>45927.458333333343</v>
      </c>
      <c r="B6469">
        <f>4045.74865305636*(3/4)</f>
        <v>3034.3114897922665</v>
      </c>
    </row>
    <row r="6470" spans="1:2" x14ac:dyDescent="0.3">
      <c r="A6470" s="2">
        <v>45927.5</v>
      </c>
      <c r="B6470">
        <f>4055.90132685947*(3/4)</f>
        <v>3041.925995144602</v>
      </c>
    </row>
    <row r="6471" spans="1:2" x14ac:dyDescent="0.3">
      <c r="A6471" s="2">
        <v>45927.541666666657</v>
      </c>
      <c r="B6471">
        <f>4163.98655664059*(3/4)</f>
        <v>3122.989917480445</v>
      </c>
    </row>
    <row r="6472" spans="1:2" x14ac:dyDescent="0.3">
      <c r="A6472" s="2">
        <v>45927.583333333343</v>
      </c>
      <c r="B6472">
        <f>3793.40489033689*(3/4)</f>
        <v>2845.0536677526698</v>
      </c>
    </row>
    <row r="6473" spans="1:2" x14ac:dyDescent="0.3">
      <c r="A6473" s="2">
        <v>45927.625</v>
      </c>
      <c r="B6473">
        <f>3912.36914519596*(3/4)</f>
        <v>2934.2768588969739</v>
      </c>
    </row>
    <row r="6474" spans="1:2" x14ac:dyDescent="0.3">
      <c r="A6474" s="2">
        <v>45927.666666666657</v>
      </c>
      <c r="B6474">
        <f>4582.51497630463*(3/4)</f>
        <v>3436.8862322284704</v>
      </c>
    </row>
    <row r="6475" spans="1:2" x14ac:dyDescent="0.3">
      <c r="A6475" s="2">
        <v>45927.708333333343</v>
      </c>
      <c r="B6475">
        <f>4025.95671445922*(3/4)</f>
        <v>3019.4675358444115</v>
      </c>
    </row>
    <row r="6476" spans="1:2" x14ac:dyDescent="0.3">
      <c r="A6476" s="2">
        <v>45927.75</v>
      </c>
      <c r="B6476">
        <f>4088.56005188165*(3/4)</f>
        <v>3066.4200389112411</v>
      </c>
    </row>
    <row r="6477" spans="1:2" x14ac:dyDescent="0.3">
      <c r="A6477" s="2">
        <v>45927.791666666657</v>
      </c>
      <c r="B6477">
        <f>3894.38783880202*(3/4)</f>
        <v>2920.790879101512</v>
      </c>
    </row>
    <row r="6478" spans="1:2" x14ac:dyDescent="0.3">
      <c r="A6478" s="2">
        <v>45927.833333333343</v>
      </c>
      <c r="B6478">
        <f>4199.17835475023*(3/4)</f>
        <v>3149.3837660626759</v>
      </c>
    </row>
    <row r="6479" spans="1:2" x14ac:dyDescent="0.3">
      <c r="A6479" s="2">
        <v>45927.875</v>
      </c>
      <c r="B6479">
        <f>3934.13754351437*(3/4)</f>
        <v>2950.60315763578</v>
      </c>
    </row>
    <row r="6480" spans="1:2" x14ac:dyDescent="0.3">
      <c r="A6480" s="2">
        <v>45927.916666666657</v>
      </c>
      <c r="B6480">
        <f>4019.54940496914*(3/4)</f>
        <v>3014.662053726855</v>
      </c>
    </row>
    <row r="6481" spans="1:2" x14ac:dyDescent="0.3">
      <c r="A6481" s="2">
        <v>45927.958333333343</v>
      </c>
      <c r="B6481">
        <f>3644.59892746188*(3/4)</f>
        <v>2733.4491955964131</v>
      </c>
    </row>
    <row r="6482" spans="1:2" x14ac:dyDescent="0.3">
      <c r="A6482" s="2">
        <v>45928</v>
      </c>
      <c r="B6482">
        <f>3809.479342841*(3/4)</f>
        <v>2857.1095071307473</v>
      </c>
    </row>
    <row r="6483" spans="1:2" x14ac:dyDescent="0.3">
      <c r="A6483" s="2">
        <v>45928.041666666657</v>
      </c>
      <c r="B6483">
        <f>4006.9657138918*(3/4)</f>
        <v>3005.2242854188471</v>
      </c>
    </row>
    <row r="6484" spans="1:2" x14ac:dyDescent="0.3">
      <c r="A6484" s="2">
        <v>45928.083333333343</v>
      </c>
      <c r="B6484">
        <f>3911.28018215313*(3/4)</f>
        <v>2933.460136614844</v>
      </c>
    </row>
    <row r="6485" spans="1:2" x14ac:dyDescent="0.3">
      <c r="A6485" s="2">
        <v>45928.125</v>
      </c>
      <c r="B6485">
        <f>4077.94614116101*(3/4)</f>
        <v>3058.4596058707539</v>
      </c>
    </row>
    <row r="6486" spans="1:2" x14ac:dyDescent="0.3">
      <c r="A6486" s="2">
        <v>45928.166666666657</v>
      </c>
      <c r="B6486">
        <f>3683.73203868235*(3/4)</f>
        <v>2762.7990290117632</v>
      </c>
    </row>
    <row r="6487" spans="1:2" x14ac:dyDescent="0.3">
      <c r="A6487" s="2">
        <v>45928.208333333343</v>
      </c>
      <c r="B6487">
        <f>3872.5141292638*(3/4)</f>
        <v>2904.3855969478536</v>
      </c>
    </row>
    <row r="6488" spans="1:2" x14ac:dyDescent="0.3">
      <c r="A6488" s="2">
        <v>45928.25</v>
      </c>
      <c r="B6488">
        <f>3672.10698181248*(3/4)</f>
        <v>2754.0802363593602</v>
      </c>
    </row>
    <row r="6489" spans="1:2" x14ac:dyDescent="0.3">
      <c r="A6489" s="2">
        <v>45928.291666666657</v>
      </c>
      <c r="B6489">
        <f>4188.49880112965*(3/4)</f>
        <v>3141.3741008472375</v>
      </c>
    </row>
    <row r="6490" spans="1:2" x14ac:dyDescent="0.3">
      <c r="A6490" s="2">
        <v>45928.333333333343</v>
      </c>
      <c r="B6490">
        <f>3255.304630432*(3/4)</f>
        <v>2441.4784728240002</v>
      </c>
    </row>
    <row r="6491" spans="1:2" x14ac:dyDescent="0.3">
      <c r="A6491" s="2">
        <v>45928.375</v>
      </c>
      <c r="B6491">
        <f>3406.66626976203*(3/4)</f>
        <v>2554.999702321521</v>
      </c>
    </row>
    <row r="6492" spans="1:2" x14ac:dyDescent="0.3">
      <c r="A6492" s="2">
        <v>45928.416666666657</v>
      </c>
      <c r="B6492">
        <f>3466.90801737528*(3/4)</f>
        <v>2600.1810130314616</v>
      </c>
    </row>
    <row r="6493" spans="1:2" x14ac:dyDescent="0.3">
      <c r="A6493" s="2">
        <v>45928.458333333343</v>
      </c>
      <c r="B6493">
        <f>3228.85811238378*(3/4)</f>
        <v>2421.6435842878341</v>
      </c>
    </row>
    <row r="6494" spans="1:2" x14ac:dyDescent="0.3">
      <c r="A6494" s="2">
        <v>45928.5</v>
      </c>
      <c r="B6494">
        <f>3320.27957744271*(3/4)</f>
        <v>2490.2096830820324</v>
      </c>
    </row>
    <row r="6495" spans="1:2" x14ac:dyDescent="0.3">
      <c r="A6495" s="2">
        <v>45928.541666666657</v>
      </c>
      <c r="B6495">
        <f>3206.52805033311*(3/4)</f>
        <v>2404.8960377498288</v>
      </c>
    </row>
    <row r="6496" spans="1:2" x14ac:dyDescent="0.3">
      <c r="A6496" s="2">
        <v>45928.583333333343</v>
      </c>
      <c r="B6496">
        <f>3313.52980242381*(3/4)</f>
        <v>2485.1473518178614</v>
      </c>
    </row>
    <row r="6497" spans="1:2" x14ac:dyDescent="0.3">
      <c r="A6497" s="2">
        <v>45928.625</v>
      </c>
      <c r="B6497">
        <f>3323.73157558297*(3/4)</f>
        <v>2492.7986816872281</v>
      </c>
    </row>
    <row r="6498" spans="1:2" x14ac:dyDescent="0.3">
      <c r="A6498" s="2">
        <v>45928.666666666657</v>
      </c>
      <c r="B6498">
        <f>3215.87077286235*(3/4)</f>
        <v>2411.9030796467596</v>
      </c>
    </row>
    <row r="6499" spans="1:2" x14ac:dyDescent="0.3">
      <c r="A6499" s="2">
        <v>45928.708333333343</v>
      </c>
      <c r="B6499">
        <f>3869.88730128469*(3/4)</f>
        <v>2902.4154759635157</v>
      </c>
    </row>
    <row r="6500" spans="1:2" x14ac:dyDescent="0.3">
      <c r="A6500" s="2">
        <v>45928.75</v>
      </c>
      <c r="B6500">
        <f>4114.29055079144*(3/4)</f>
        <v>3085.7179130935838</v>
      </c>
    </row>
    <row r="6501" spans="1:2" x14ac:dyDescent="0.3">
      <c r="A6501" s="2">
        <v>45928.791666666657</v>
      </c>
      <c r="B6501">
        <f>4077.88036240799*(3/4)</f>
        <v>3058.4102718059903</v>
      </c>
    </row>
    <row r="6502" spans="1:2" x14ac:dyDescent="0.3">
      <c r="A6502" s="2">
        <v>45928.833333333343</v>
      </c>
      <c r="B6502">
        <f>4379.34552944291*(3/4)</f>
        <v>3284.5091470821799</v>
      </c>
    </row>
    <row r="6503" spans="1:2" x14ac:dyDescent="0.3">
      <c r="A6503" s="2">
        <v>45928.875</v>
      </c>
      <c r="B6503">
        <f>4082.3836096812*(3/4)</f>
        <v>3061.787707260899</v>
      </c>
    </row>
    <row r="6504" spans="1:2" x14ac:dyDescent="0.3">
      <c r="A6504" s="2">
        <v>45928.916666666657</v>
      </c>
      <c r="B6504">
        <f>3591.61687510965*(3/4)</f>
        <v>2693.7126563322377</v>
      </c>
    </row>
    <row r="6505" spans="1:2" x14ac:dyDescent="0.3">
      <c r="A6505" s="2">
        <v>45928.958333333343</v>
      </c>
      <c r="B6505">
        <f>3877.88494162652*(3/4)</f>
        <v>2908.4137062198915</v>
      </c>
    </row>
    <row r="6506" spans="1:2" x14ac:dyDescent="0.3">
      <c r="A6506" s="2">
        <v>45929</v>
      </c>
      <c r="B6506">
        <f>3802.53017884602*(3/4)</f>
        <v>2851.8976341345119</v>
      </c>
    </row>
    <row r="6507" spans="1:2" x14ac:dyDescent="0.3">
      <c r="A6507" s="2">
        <v>45929.041666666657</v>
      </c>
      <c r="B6507">
        <f>4038.78858290843*(3/4)</f>
        <v>3029.0914371813255</v>
      </c>
    </row>
    <row r="6508" spans="1:2" x14ac:dyDescent="0.3">
      <c r="A6508" s="2">
        <v>45929.083333333343</v>
      </c>
      <c r="B6508">
        <f>3247.90714212624*(3/4)</f>
        <v>2435.9303565946793</v>
      </c>
    </row>
    <row r="6509" spans="1:2" x14ac:dyDescent="0.3">
      <c r="A6509" s="2">
        <v>45929.125</v>
      </c>
      <c r="B6509">
        <f>3797.42638226285*(3/4)</f>
        <v>2848.0697866971377</v>
      </c>
    </row>
    <row r="6510" spans="1:2" x14ac:dyDescent="0.3">
      <c r="A6510" s="2">
        <v>45929.166666666657</v>
      </c>
      <c r="B6510">
        <f>4197.86336047423*(3/4)</f>
        <v>3148.3975203556729</v>
      </c>
    </row>
    <row r="6511" spans="1:2" x14ac:dyDescent="0.3">
      <c r="A6511" s="2">
        <v>45929.208333333343</v>
      </c>
      <c r="B6511">
        <f>3747.23260468402*(3/4)</f>
        <v>2810.4244535130174</v>
      </c>
    </row>
    <row r="6512" spans="1:2" x14ac:dyDescent="0.3">
      <c r="A6512" s="2">
        <v>45929.25</v>
      </c>
      <c r="B6512">
        <f>3639.49693631634*(3/4)</f>
        <v>2729.622702237255</v>
      </c>
    </row>
    <row r="6513" spans="1:2" x14ac:dyDescent="0.3">
      <c r="A6513" s="2">
        <v>45929.291666666657</v>
      </c>
      <c r="B6513">
        <f>3830.64986885696*(3/4)</f>
        <v>2872.9874016427184</v>
      </c>
    </row>
    <row r="6514" spans="1:2" x14ac:dyDescent="0.3">
      <c r="A6514" s="2">
        <v>45929.333333333343</v>
      </c>
      <c r="B6514">
        <f>4441.20973959948*(3/4)</f>
        <v>3330.9073046996073</v>
      </c>
    </row>
    <row r="6515" spans="1:2" x14ac:dyDescent="0.3">
      <c r="A6515" s="2">
        <v>45929.375</v>
      </c>
      <c r="B6515">
        <f>4125.16448751629*(3/4)</f>
        <v>3093.8733656372196</v>
      </c>
    </row>
    <row r="6516" spans="1:2" x14ac:dyDescent="0.3">
      <c r="A6516" s="2">
        <v>45929.416666666657</v>
      </c>
      <c r="B6516">
        <f>3819.67365953583*(3/4)</f>
        <v>2864.7552446518748</v>
      </c>
    </row>
    <row r="6517" spans="1:2" x14ac:dyDescent="0.3">
      <c r="A6517" s="2">
        <v>45929.458333333343</v>
      </c>
      <c r="B6517">
        <f>3869.41576815027*(3/4)</f>
        <v>2902.0618261127033</v>
      </c>
    </row>
    <row r="6518" spans="1:2" x14ac:dyDescent="0.3">
      <c r="A6518" s="2">
        <v>45929.5</v>
      </c>
      <c r="B6518">
        <f>4267.21488100478*(3/4)</f>
        <v>3200.4111607535833</v>
      </c>
    </row>
    <row r="6519" spans="1:2" x14ac:dyDescent="0.3">
      <c r="A6519" s="2">
        <v>45929.541666666657</v>
      </c>
      <c r="B6519">
        <f>4042.46948159079*(3/4)</f>
        <v>3031.8521111930927</v>
      </c>
    </row>
    <row r="6520" spans="1:2" x14ac:dyDescent="0.3">
      <c r="A6520" s="2">
        <v>45929.583333333343</v>
      </c>
      <c r="B6520">
        <f>3674.07993343082*(3/4)</f>
        <v>2755.559950073115</v>
      </c>
    </row>
    <row r="6521" spans="1:2" x14ac:dyDescent="0.3">
      <c r="A6521" s="2">
        <v>45929.625</v>
      </c>
      <c r="B6521">
        <f>4180.60183912615*(3/4)</f>
        <v>3135.4513793446113</v>
      </c>
    </row>
    <row r="6522" spans="1:2" x14ac:dyDescent="0.3">
      <c r="A6522" s="2">
        <v>45929.666666666657</v>
      </c>
      <c r="B6522">
        <f>4299.78217586078*(3/4)</f>
        <v>3224.8366318955823</v>
      </c>
    </row>
    <row r="6523" spans="1:2" x14ac:dyDescent="0.3">
      <c r="A6523" s="2">
        <v>45929.708333333343</v>
      </c>
      <c r="B6523">
        <f>4384.44427557266*(3/4)</f>
        <v>3288.3332066794937</v>
      </c>
    </row>
    <row r="6524" spans="1:2" x14ac:dyDescent="0.3">
      <c r="A6524" s="2">
        <v>45929.75</v>
      </c>
      <c r="B6524">
        <f>3944.24190839901*(3/4)</f>
        <v>2958.1814312992583</v>
      </c>
    </row>
    <row r="6525" spans="1:2" x14ac:dyDescent="0.3">
      <c r="A6525" s="2">
        <v>45929.791666666657</v>
      </c>
      <c r="B6525">
        <f>4143.86904417424*(3/4)</f>
        <v>3107.9017831306819</v>
      </c>
    </row>
    <row r="6526" spans="1:2" x14ac:dyDescent="0.3">
      <c r="A6526" s="2">
        <v>45929.833333333343</v>
      </c>
      <c r="B6526">
        <f>3833.26761179713*(3/4)</f>
        <v>2874.9507088478463</v>
      </c>
    </row>
    <row r="6527" spans="1:2" x14ac:dyDescent="0.3">
      <c r="A6527" s="2">
        <v>45929.875</v>
      </c>
      <c r="B6527">
        <f>4136.10976831497*(3/4)</f>
        <v>3102.0823262362255</v>
      </c>
    </row>
    <row r="6528" spans="1:2" x14ac:dyDescent="0.3">
      <c r="A6528" s="2">
        <v>45929.916666666657</v>
      </c>
      <c r="B6528">
        <f>4026.56604380056*(3/4)</f>
        <v>3019.9245328504176</v>
      </c>
    </row>
    <row r="6529" spans="1:2" x14ac:dyDescent="0.3">
      <c r="A6529" s="2">
        <v>45929.958333333343</v>
      </c>
      <c r="B6529">
        <f>3887.85992597309*(3/4)</f>
        <v>2915.8949444798145</v>
      </c>
    </row>
    <row r="6530" spans="1:2" x14ac:dyDescent="0.3">
      <c r="A6530" s="2">
        <v>45930</v>
      </c>
      <c r="B6530">
        <f>3754.68697804667*(3/4)</f>
        <v>2816.0152335350062</v>
      </c>
    </row>
    <row r="6531" spans="1:2" x14ac:dyDescent="0.3">
      <c r="A6531" s="2">
        <v>45930.041666666657</v>
      </c>
      <c r="B6531">
        <f>3895.57387348365*(3/4)</f>
        <v>2921.6804051127351</v>
      </c>
    </row>
    <row r="6532" spans="1:2" x14ac:dyDescent="0.3">
      <c r="A6532" s="2">
        <v>45930.083333333343</v>
      </c>
      <c r="B6532">
        <f>4036.39273440562*(3/4)</f>
        <v>3027.2945508042144</v>
      </c>
    </row>
    <row r="6533" spans="1:2" x14ac:dyDescent="0.3">
      <c r="A6533" s="2">
        <v>45930.125</v>
      </c>
      <c r="B6533">
        <f>3888.22144055131*(3/4)</f>
        <v>2916.1660804134794</v>
      </c>
    </row>
    <row r="6534" spans="1:2" x14ac:dyDescent="0.3">
      <c r="A6534" s="2">
        <v>45930.166666666657</v>
      </c>
      <c r="B6534">
        <f>3974.17170276277*(3/4)</f>
        <v>2980.6287770720751</v>
      </c>
    </row>
    <row r="6535" spans="1:2" x14ac:dyDescent="0.3">
      <c r="A6535" s="2">
        <v>45930.208333333343</v>
      </c>
      <c r="B6535">
        <f>4044.70392835233*(3/4)</f>
        <v>3033.5279462642507</v>
      </c>
    </row>
    <row r="6536" spans="1:2" x14ac:dyDescent="0.3">
      <c r="A6536" s="2">
        <v>45930.25</v>
      </c>
      <c r="B6536">
        <f>3683.83236615462*(3/4)</f>
        <v>2762.8742746159619</v>
      </c>
    </row>
    <row r="6537" spans="1:2" x14ac:dyDescent="0.3">
      <c r="A6537" s="2">
        <v>45930.291666666657</v>
      </c>
      <c r="B6537">
        <f>3889.96633943482*(3/4)</f>
        <v>2917.4747545761188</v>
      </c>
    </row>
    <row r="6538" spans="1:2" x14ac:dyDescent="0.3">
      <c r="A6538" s="2">
        <v>45930.333333333343</v>
      </c>
      <c r="B6538">
        <f>4331.42109288992*(3/4)</f>
        <v>3248.5658196674381</v>
      </c>
    </row>
    <row r="6539" spans="1:2" x14ac:dyDescent="0.3">
      <c r="A6539" s="2">
        <v>45930.375</v>
      </c>
      <c r="B6539">
        <f>4234.63887423687*(3/4)</f>
        <v>3175.9791556776504</v>
      </c>
    </row>
    <row r="6540" spans="1:2" x14ac:dyDescent="0.3">
      <c r="A6540" s="2">
        <v>45930.416666666657</v>
      </c>
      <c r="B6540">
        <f>4225.75214513778*(3/4)</f>
        <v>3169.3141088533339</v>
      </c>
    </row>
    <row r="6541" spans="1:2" x14ac:dyDescent="0.3">
      <c r="A6541" s="2">
        <v>45930.458333333343</v>
      </c>
      <c r="B6541">
        <f>4017.93240325207*(3/4)</f>
        <v>3013.4493024390554</v>
      </c>
    </row>
    <row r="6542" spans="1:2" x14ac:dyDescent="0.3">
      <c r="A6542" s="2">
        <v>45930.5</v>
      </c>
      <c r="B6542">
        <f>4227.50710748249*(3/4)</f>
        <v>3170.6303306118652</v>
      </c>
    </row>
    <row r="6543" spans="1:2" x14ac:dyDescent="0.3">
      <c r="A6543" s="2">
        <v>45930.541666666657</v>
      </c>
      <c r="B6543">
        <f>4039.5810476209*(3/4)</f>
        <v>3029.6857857156738</v>
      </c>
    </row>
    <row r="6544" spans="1:2" x14ac:dyDescent="0.3">
      <c r="A6544" s="2">
        <v>45930.583333333343</v>
      </c>
      <c r="B6544">
        <f>3942.98995389396*(3/4)</f>
        <v>2957.2424654204729</v>
      </c>
    </row>
    <row r="6545" spans="1:2" x14ac:dyDescent="0.3">
      <c r="A6545" s="2">
        <v>45930.625</v>
      </c>
      <c r="B6545">
        <f>3948.17250235332*(3/4)</f>
        <v>2961.1293767649918</v>
      </c>
    </row>
    <row r="6546" spans="1:2" x14ac:dyDescent="0.3">
      <c r="A6546" s="2">
        <v>45930.666666666657</v>
      </c>
      <c r="B6546">
        <f>4324.57898985395*(3/4)</f>
        <v>3243.4342423904591</v>
      </c>
    </row>
    <row r="6547" spans="1:2" x14ac:dyDescent="0.3">
      <c r="A6547" s="2">
        <v>45930.708333333343</v>
      </c>
      <c r="B6547">
        <f>3930.69683598825*(3/4)</f>
        <v>2948.0226269911868</v>
      </c>
    </row>
    <row r="6548" spans="1:2" x14ac:dyDescent="0.3">
      <c r="A6548" s="2">
        <v>45930.75</v>
      </c>
      <c r="B6548">
        <f>3983.13068954857*(3/4)</f>
        <v>2987.3480171614251</v>
      </c>
    </row>
    <row r="6549" spans="1:2" x14ac:dyDescent="0.3">
      <c r="A6549" s="2">
        <v>45930.791666666657</v>
      </c>
      <c r="B6549">
        <f>3788.60245444064*(3/4)</f>
        <v>2841.451840830483</v>
      </c>
    </row>
    <row r="6550" spans="1:2" x14ac:dyDescent="0.3">
      <c r="A6550" s="2">
        <v>45930.833333333343</v>
      </c>
      <c r="B6550">
        <f>4089.73442276379*(3/4)</f>
        <v>3067.3008170728413</v>
      </c>
    </row>
    <row r="6551" spans="1:2" x14ac:dyDescent="0.3">
      <c r="A6551" s="2">
        <v>45930.875</v>
      </c>
      <c r="B6551">
        <f>4114.5963508159*(3/4)</f>
        <v>3085.9472631119238</v>
      </c>
    </row>
    <row r="6552" spans="1:2" x14ac:dyDescent="0.3">
      <c r="A6552" s="2">
        <v>45930.916666666657</v>
      </c>
      <c r="B6552">
        <f>3814.07078494194*(3/4)</f>
        <v>2860.5530887064551</v>
      </c>
    </row>
    <row r="6553" spans="1:2" x14ac:dyDescent="0.3">
      <c r="A6553" s="2">
        <v>45930.958333333343</v>
      </c>
      <c r="B6553">
        <f>3905.07357307903*(3/4)</f>
        <v>2928.8051798092702</v>
      </c>
    </row>
    <row r="6554" spans="1:2" x14ac:dyDescent="0.3">
      <c r="A6554" s="2">
        <v>45931</v>
      </c>
      <c r="B6554">
        <f>3821.70741682411*(3/4)</f>
        <v>2866.2805626180798</v>
      </c>
    </row>
    <row r="6555" spans="1:2" x14ac:dyDescent="0.3">
      <c r="A6555" s="2">
        <v>45931.041666666657</v>
      </c>
      <c r="B6555">
        <f>3699.01506906241*(3/4)</f>
        <v>2774.2613017968069</v>
      </c>
    </row>
    <row r="6556" spans="1:2" x14ac:dyDescent="0.3">
      <c r="A6556" s="2">
        <v>45931.083333333343</v>
      </c>
      <c r="B6556">
        <f>4086.67993411598*(3/4)</f>
        <v>3065.0099505869885</v>
      </c>
    </row>
    <row r="6557" spans="1:2" x14ac:dyDescent="0.3">
      <c r="A6557" s="2">
        <v>45931.125</v>
      </c>
      <c r="B6557">
        <f>4155.36369568776*(3/4)</f>
        <v>3116.5227717658213</v>
      </c>
    </row>
    <row r="6558" spans="1:2" x14ac:dyDescent="0.3">
      <c r="A6558" s="2">
        <v>45931.166666666657</v>
      </c>
      <c r="B6558">
        <f>3343.75952498661*(3/4)</f>
        <v>2507.8196437399561</v>
      </c>
    </row>
    <row r="6559" spans="1:2" x14ac:dyDescent="0.3">
      <c r="A6559" s="2">
        <v>45931.208333333343</v>
      </c>
      <c r="B6559">
        <f>3695.55681336376*(3/4)</f>
        <v>2771.667610022821</v>
      </c>
    </row>
    <row r="6560" spans="1:2" x14ac:dyDescent="0.3">
      <c r="A6560" s="2">
        <v>45931.25</v>
      </c>
      <c r="B6560">
        <f>3792.23886213809*(3/4)</f>
        <v>2844.1791466035647</v>
      </c>
    </row>
    <row r="6561" spans="1:2" x14ac:dyDescent="0.3">
      <c r="A6561" s="2">
        <v>45931.291666666657</v>
      </c>
      <c r="B6561">
        <f>4150.37086204307*(3/4)</f>
        <v>3112.7781465323051</v>
      </c>
    </row>
    <row r="6562" spans="1:2" x14ac:dyDescent="0.3">
      <c r="A6562" s="2">
        <v>45931.333333333343</v>
      </c>
      <c r="B6562">
        <f>3974.31172283347*(3/4)</f>
        <v>2980.7337921251001</v>
      </c>
    </row>
    <row r="6563" spans="1:2" x14ac:dyDescent="0.3">
      <c r="A6563" s="2">
        <v>45931.375</v>
      </c>
      <c r="B6563">
        <f>4325.01654768491*(3/4)</f>
        <v>3243.7624107636811</v>
      </c>
    </row>
    <row r="6564" spans="1:2" x14ac:dyDescent="0.3">
      <c r="A6564" s="2">
        <v>45931.416666666657</v>
      </c>
      <c r="B6564">
        <f>4046.86399959785*(3/4)</f>
        <v>3035.1479996983844</v>
      </c>
    </row>
    <row r="6565" spans="1:2" x14ac:dyDescent="0.3">
      <c r="A6565" s="2">
        <v>45931.458333333343</v>
      </c>
      <c r="B6565">
        <f>4187.46610771843*(3/4)</f>
        <v>3140.5995807888212</v>
      </c>
    </row>
    <row r="6566" spans="1:2" x14ac:dyDescent="0.3">
      <c r="A6566" s="2">
        <v>45931.5</v>
      </c>
      <c r="B6566">
        <f>4055.71808978451*(3/4)</f>
        <v>3041.7885673383803</v>
      </c>
    </row>
    <row r="6567" spans="1:2" x14ac:dyDescent="0.3">
      <c r="A6567" s="2">
        <v>45931.541666666657</v>
      </c>
      <c r="B6567">
        <f>3838.37349898939*(3/4)</f>
        <v>2878.7801242420419</v>
      </c>
    </row>
    <row r="6568" spans="1:2" x14ac:dyDescent="0.3">
      <c r="A6568" s="2">
        <v>45931.583333333343</v>
      </c>
      <c r="B6568">
        <f>3729.84333886211*(3/4)</f>
        <v>2797.3825041465852</v>
      </c>
    </row>
    <row r="6569" spans="1:2" x14ac:dyDescent="0.3">
      <c r="A6569" s="2">
        <v>45931.625</v>
      </c>
      <c r="B6569">
        <f>4039.91554302059*(3/4)</f>
        <v>3029.9366572654458</v>
      </c>
    </row>
    <row r="6570" spans="1:2" x14ac:dyDescent="0.3">
      <c r="A6570" s="2">
        <v>45931.666666666657</v>
      </c>
      <c r="B6570">
        <f>4078.42932845038*(3/4)</f>
        <v>3058.821996337786</v>
      </c>
    </row>
    <row r="6571" spans="1:2" x14ac:dyDescent="0.3">
      <c r="A6571" s="2">
        <v>45931.708333333343</v>
      </c>
      <c r="B6571">
        <f>3945.12450829946*(3/4)</f>
        <v>2958.8433812245949</v>
      </c>
    </row>
    <row r="6572" spans="1:2" x14ac:dyDescent="0.3">
      <c r="A6572" s="2">
        <v>45931.75</v>
      </c>
      <c r="B6572">
        <f>4033.53417307941*(3/4)</f>
        <v>3025.1506298095583</v>
      </c>
    </row>
    <row r="6573" spans="1:2" x14ac:dyDescent="0.3">
      <c r="A6573" s="2">
        <v>45931.791666666657</v>
      </c>
      <c r="B6573">
        <f>3925.17160171217*(3/4)</f>
        <v>2943.8787012841312</v>
      </c>
    </row>
    <row r="6574" spans="1:2" x14ac:dyDescent="0.3">
      <c r="A6574" s="2">
        <v>45931.833333333343</v>
      </c>
      <c r="B6574">
        <f>4478.59800066959*(3/4)</f>
        <v>3358.9485005021888</v>
      </c>
    </row>
    <row r="6575" spans="1:2" x14ac:dyDescent="0.3">
      <c r="A6575" s="2">
        <v>45931.875</v>
      </c>
      <c r="B6575">
        <f>4028.34762215745*(3/4)</f>
        <v>3021.2607166180896</v>
      </c>
    </row>
    <row r="6576" spans="1:2" x14ac:dyDescent="0.3">
      <c r="A6576" s="2">
        <v>45931.916666666657</v>
      </c>
      <c r="B6576">
        <f>3760.18767871272*(3/4)</f>
        <v>2820.140759034537</v>
      </c>
    </row>
    <row r="6577" spans="1:2" x14ac:dyDescent="0.3">
      <c r="A6577" s="2">
        <v>45931.958333333343</v>
      </c>
      <c r="B6577">
        <f>3817.60899204364*(3/4)</f>
        <v>2863.2067440327291</v>
      </c>
    </row>
    <row r="6578" spans="1:2" x14ac:dyDescent="0.3">
      <c r="A6578" s="2">
        <v>45932</v>
      </c>
      <c r="B6578">
        <f>3593.94510813663*(3/4)</f>
        <v>2695.4588311024727</v>
      </c>
    </row>
    <row r="6579" spans="1:2" x14ac:dyDescent="0.3">
      <c r="A6579" s="2">
        <v>45932.041666666657</v>
      </c>
      <c r="B6579">
        <f>3809.83614471009*(3/4)</f>
        <v>2857.3771085325684</v>
      </c>
    </row>
    <row r="6580" spans="1:2" x14ac:dyDescent="0.3">
      <c r="A6580" s="2">
        <v>45932.083333333343</v>
      </c>
      <c r="B6580">
        <f>4067.55822586679*(3/4)</f>
        <v>3050.6686694000887</v>
      </c>
    </row>
    <row r="6581" spans="1:2" x14ac:dyDescent="0.3">
      <c r="A6581" s="2">
        <v>45932.125</v>
      </c>
      <c r="B6581">
        <f>4122.7404447691*(3/4)</f>
        <v>3092.0553335768213</v>
      </c>
    </row>
    <row r="6582" spans="1:2" x14ac:dyDescent="0.3">
      <c r="A6582" s="2">
        <v>45932.166666666657</v>
      </c>
      <c r="B6582">
        <f>3835.70544197107*(3/4)</f>
        <v>2876.7790814783025</v>
      </c>
    </row>
    <row r="6583" spans="1:2" x14ac:dyDescent="0.3">
      <c r="A6583" s="2">
        <v>45932.208333333343</v>
      </c>
      <c r="B6583">
        <f>3919.155162126*(3/4)</f>
        <v>2939.3663715944967</v>
      </c>
    </row>
    <row r="6584" spans="1:2" x14ac:dyDescent="0.3">
      <c r="A6584" s="2">
        <v>45932.25</v>
      </c>
      <c r="B6584">
        <f>3886.30321529333*(3/4)</f>
        <v>2914.7274114699953</v>
      </c>
    </row>
    <row r="6585" spans="1:2" x14ac:dyDescent="0.3">
      <c r="A6585" s="2">
        <v>45932.291666666657</v>
      </c>
      <c r="B6585">
        <f>3893.96179803348*(3/4)</f>
        <v>2920.4713485251109</v>
      </c>
    </row>
    <row r="6586" spans="1:2" x14ac:dyDescent="0.3">
      <c r="A6586" s="2">
        <v>45932.333333333343</v>
      </c>
      <c r="B6586">
        <f>4062.08955568451*(3/4)</f>
        <v>3046.5671667633846</v>
      </c>
    </row>
    <row r="6587" spans="1:2" x14ac:dyDescent="0.3">
      <c r="A6587" s="2">
        <v>45932.375</v>
      </c>
      <c r="B6587">
        <f>4146.90337224123*(3/4)</f>
        <v>3110.1775291809195</v>
      </c>
    </row>
    <row r="6588" spans="1:2" x14ac:dyDescent="0.3">
      <c r="A6588" s="2">
        <v>45932.416666666657</v>
      </c>
      <c r="B6588">
        <f>4212.3223542485*(3/4)</f>
        <v>3159.2417656863736</v>
      </c>
    </row>
    <row r="6589" spans="1:2" x14ac:dyDescent="0.3">
      <c r="A6589" s="2">
        <v>45932.458333333343</v>
      </c>
      <c r="B6589">
        <f>4126.82437248619*(3/4)</f>
        <v>3095.1182793646394</v>
      </c>
    </row>
    <row r="6590" spans="1:2" x14ac:dyDescent="0.3">
      <c r="A6590" s="2">
        <v>45932.5</v>
      </c>
      <c r="B6590">
        <f>4529.25737199451*(3/4)</f>
        <v>3396.9430289958846</v>
      </c>
    </row>
    <row r="6591" spans="1:2" x14ac:dyDescent="0.3">
      <c r="A6591" s="2">
        <v>45932.541666666657</v>
      </c>
      <c r="B6591">
        <f>4184.31873771819*(3/4)</f>
        <v>3138.2390532886407</v>
      </c>
    </row>
    <row r="6592" spans="1:2" x14ac:dyDescent="0.3">
      <c r="A6592" s="2">
        <v>45932.583333333343</v>
      </c>
      <c r="B6592">
        <f>3645.59668157957*(3/4)</f>
        <v>2734.1975111846759</v>
      </c>
    </row>
    <row r="6593" spans="1:2" x14ac:dyDescent="0.3">
      <c r="A6593" s="2">
        <v>45932.625</v>
      </c>
      <c r="B6593">
        <f>4110.97817395425*(3/4)</f>
        <v>3083.2336304656878</v>
      </c>
    </row>
    <row r="6594" spans="1:2" x14ac:dyDescent="0.3">
      <c r="A6594" s="2">
        <v>45932.666666666657</v>
      </c>
      <c r="B6594">
        <f>4363.5969272985*(3/4)</f>
        <v>3272.6976954738757</v>
      </c>
    </row>
    <row r="6595" spans="1:2" x14ac:dyDescent="0.3">
      <c r="A6595" s="2">
        <v>45932.708333333343</v>
      </c>
      <c r="B6595">
        <f>4292.40179889486*(3/4)</f>
        <v>3219.3013491711481</v>
      </c>
    </row>
    <row r="6596" spans="1:2" x14ac:dyDescent="0.3">
      <c r="A6596" s="2">
        <v>45932.75</v>
      </c>
      <c r="B6596">
        <f>4151.96853576075*(3/4)</f>
        <v>3113.9764018205656</v>
      </c>
    </row>
    <row r="6597" spans="1:2" x14ac:dyDescent="0.3">
      <c r="A6597" s="2">
        <v>45932.791666666657</v>
      </c>
      <c r="B6597">
        <f>4122.23696557119*(3/4)</f>
        <v>3091.6777241783952</v>
      </c>
    </row>
    <row r="6598" spans="1:2" x14ac:dyDescent="0.3">
      <c r="A6598" s="2">
        <v>45932.833333333343</v>
      </c>
      <c r="B6598">
        <f>3951.25077399537*(3/4)</f>
        <v>2963.4380804965276</v>
      </c>
    </row>
    <row r="6599" spans="1:2" x14ac:dyDescent="0.3">
      <c r="A6599" s="2">
        <v>45932.875</v>
      </c>
      <c r="B6599">
        <f>4110.72894397815*(3/4)</f>
        <v>3083.0467079836158</v>
      </c>
    </row>
    <row r="6600" spans="1:2" x14ac:dyDescent="0.3">
      <c r="A6600" s="2">
        <v>45932.916666666657</v>
      </c>
      <c r="B6600">
        <f>3852.76329451306*(3/4)</f>
        <v>2889.5724708847938</v>
      </c>
    </row>
    <row r="6601" spans="1:2" x14ac:dyDescent="0.3">
      <c r="A6601" s="2">
        <v>45932.958333333343</v>
      </c>
      <c r="B6601">
        <f>4231.80363776641*(3/4)</f>
        <v>3173.8527283248077</v>
      </c>
    </row>
    <row r="6602" spans="1:2" x14ac:dyDescent="0.3">
      <c r="A6602" s="2">
        <v>45933</v>
      </c>
      <c r="B6602">
        <f>4147.10352021191*(3/4)</f>
        <v>3110.3276401589328</v>
      </c>
    </row>
    <row r="6603" spans="1:2" x14ac:dyDescent="0.3">
      <c r="A6603" s="2">
        <v>45933.041666666657</v>
      </c>
      <c r="B6603">
        <f>3684.76438873498*(3/4)</f>
        <v>2763.5732915512344</v>
      </c>
    </row>
    <row r="6604" spans="1:2" x14ac:dyDescent="0.3">
      <c r="A6604" s="2">
        <v>45933.083333333343</v>
      </c>
      <c r="B6604">
        <f>3705.87974746882*(3/4)</f>
        <v>2779.4098106016181</v>
      </c>
    </row>
    <row r="6605" spans="1:2" x14ac:dyDescent="0.3">
      <c r="A6605" s="2">
        <v>45933.125</v>
      </c>
      <c r="B6605">
        <f>4157.15728960014*(3/4)</f>
        <v>3117.8679672001053</v>
      </c>
    </row>
    <row r="6606" spans="1:2" x14ac:dyDescent="0.3">
      <c r="A6606" s="2">
        <v>45933.166666666657</v>
      </c>
      <c r="B6606">
        <f>3814.98449641922*(3/4)</f>
        <v>2861.2383723144171</v>
      </c>
    </row>
    <row r="6607" spans="1:2" x14ac:dyDescent="0.3">
      <c r="A6607" s="2">
        <v>45933.208333333343</v>
      </c>
      <c r="B6607">
        <f>3779.89628922326*(3/4)</f>
        <v>2834.9222169174486</v>
      </c>
    </row>
    <row r="6608" spans="1:2" x14ac:dyDescent="0.3">
      <c r="A6608" s="2">
        <v>45933.25</v>
      </c>
      <c r="B6608">
        <f>3628.22037708758*(3/4)</f>
        <v>2721.1652828156866</v>
      </c>
    </row>
    <row r="6609" spans="1:2" x14ac:dyDescent="0.3">
      <c r="A6609" s="2">
        <v>45933.291666666657</v>
      </c>
      <c r="B6609">
        <f>4104.91209483074*(3/4)</f>
        <v>3078.6840711230557</v>
      </c>
    </row>
    <row r="6610" spans="1:2" x14ac:dyDescent="0.3">
      <c r="A6610" s="2">
        <v>45933.333333333343</v>
      </c>
      <c r="B6610">
        <f>3952.33415428227*(3/4)</f>
        <v>2964.2506157117041</v>
      </c>
    </row>
    <row r="6611" spans="1:2" x14ac:dyDescent="0.3">
      <c r="A6611" s="2">
        <v>45933.375</v>
      </c>
      <c r="B6611">
        <f>3952.05347451871*(3/4)</f>
        <v>2964.0401058890357</v>
      </c>
    </row>
    <row r="6612" spans="1:2" x14ac:dyDescent="0.3">
      <c r="A6612" s="2">
        <v>45933.416666666657</v>
      </c>
      <c r="B6612">
        <f>4078.46541590989*(3/4)</f>
        <v>3058.8490619324189</v>
      </c>
    </row>
    <row r="6613" spans="1:2" x14ac:dyDescent="0.3">
      <c r="A6613" s="2">
        <v>45933.458333333343</v>
      </c>
      <c r="B6613">
        <f>4305.1738684202*(3/4)</f>
        <v>3228.8804013151494</v>
      </c>
    </row>
    <row r="6614" spans="1:2" x14ac:dyDescent="0.3">
      <c r="A6614" s="2">
        <v>45933.5</v>
      </c>
      <c r="B6614">
        <f>4505.68535701325*(3/4)</f>
        <v>3379.2640177599387</v>
      </c>
    </row>
    <row r="6615" spans="1:2" x14ac:dyDescent="0.3">
      <c r="A6615" s="2">
        <v>45933.541666666657</v>
      </c>
      <c r="B6615">
        <f>4219.12178477318*(3/4)</f>
        <v>3164.3413385798813</v>
      </c>
    </row>
    <row r="6616" spans="1:2" x14ac:dyDescent="0.3">
      <c r="A6616" s="2">
        <v>45933.583333333343</v>
      </c>
      <c r="B6616">
        <f>4015.83879448325*(3/4)</f>
        <v>3011.8790958624359</v>
      </c>
    </row>
    <row r="6617" spans="1:2" x14ac:dyDescent="0.3">
      <c r="A6617" s="2">
        <v>45933.625</v>
      </c>
      <c r="B6617">
        <f>3981.3999762108*(3/4)</f>
        <v>2986.0499821581006</v>
      </c>
    </row>
    <row r="6618" spans="1:2" x14ac:dyDescent="0.3">
      <c r="A6618" s="2">
        <v>45933.666666666657</v>
      </c>
      <c r="B6618">
        <f>4047.32423785829*(3/4)</f>
        <v>3035.4931783937172</v>
      </c>
    </row>
    <row r="6619" spans="1:2" x14ac:dyDescent="0.3">
      <c r="A6619" s="2">
        <v>45933.708333333343</v>
      </c>
      <c r="B6619">
        <f>3956.2304920485*(3/4)</f>
        <v>2967.1728690363734</v>
      </c>
    </row>
    <row r="6620" spans="1:2" x14ac:dyDescent="0.3">
      <c r="A6620" s="2">
        <v>45933.75</v>
      </c>
      <c r="B6620">
        <f>3847.59260110532*(3/4)</f>
        <v>2885.6944508289889</v>
      </c>
    </row>
    <row r="6621" spans="1:2" x14ac:dyDescent="0.3">
      <c r="A6621" s="2">
        <v>45933.791666666657</v>
      </c>
      <c r="B6621">
        <f>4212.01576904345*(3/4)</f>
        <v>3159.011826782591</v>
      </c>
    </row>
    <row r="6622" spans="1:2" x14ac:dyDescent="0.3">
      <c r="A6622" s="2">
        <v>45933.833333333343</v>
      </c>
      <c r="B6622">
        <f>4239.54667807807*(3/4)</f>
        <v>3179.6600085585542</v>
      </c>
    </row>
    <row r="6623" spans="1:2" x14ac:dyDescent="0.3">
      <c r="A6623" s="2">
        <v>45933.875</v>
      </c>
      <c r="B6623">
        <f>4113.32569464738*(3/4)</f>
        <v>3084.9942709855341</v>
      </c>
    </row>
    <row r="6624" spans="1:2" x14ac:dyDescent="0.3">
      <c r="A6624" s="2">
        <v>45933.916666666657</v>
      </c>
      <c r="B6624">
        <f>3892.00645519251*(3/4)</f>
        <v>2919.0048413943805</v>
      </c>
    </row>
    <row r="6625" spans="1:2" x14ac:dyDescent="0.3">
      <c r="A6625" s="2">
        <v>45933.958333333343</v>
      </c>
      <c r="B6625">
        <f>3834.09879444105*(3/4)</f>
        <v>2875.5740958307879</v>
      </c>
    </row>
    <row r="6626" spans="1:2" x14ac:dyDescent="0.3">
      <c r="A6626" s="2">
        <v>45934</v>
      </c>
      <c r="B6626">
        <f>3917.4790855618*(3/4)</f>
        <v>2938.1093141713491</v>
      </c>
    </row>
    <row r="6627" spans="1:2" x14ac:dyDescent="0.3">
      <c r="A6627" s="2">
        <v>45934.041666666657</v>
      </c>
      <c r="B6627">
        <f>4256.84120907492*(3/4)</f>
        <v>3192.6309068061905</v>
      </c>
    </row>
    <row r="6628" spans="1:2" x14ac:dyDescent="0.3">
      <c r="A6628" s="2">
        <v>45934.083333333343</v>
      </c>
      <c r="B6628">
        <f>3831.19835714526*(3/4)</f>
        <v>2873.3987678589465</v>
      </c>
    </row>
    <row r="6629" spans="1:2" x14ac:dyDescent="0.3">
      <c r="A6629" s="2">
        <v>45934.125</v>
      </c>
      <c r="B6629">
        <f>4017.97306102816*(3/4)</f>
        <v>3013.4797957711216</v>
      </c>
    </row>
    <row r="6630" spans="1:2" x14ac:dyDescent="0.3">
      <c r="A6630" s="2">
        <v>45934.166666666657</v>
      </c>
      <c r="B6630">
        <f>3584.59880028397*(3/4)</f>
        <v>2688.4491002129807</v>
      </c>
    </row>
    <row r="6631" spans="1:2" x14ac:dyDescent="0.3">
      <c r="A6631" s="2">
        <v>45934.208333333343</v>
      </c>
      <c r="B6631">
        <f>4043.10106895801*(3/4)</f>
        <v>3032.3258017185112</v>
      </c>
    </row>
    <row r="6632" spans="1:2" x14ac:dyDescent="0.3">
      <c r="A6632" s="2">
        <v>45934.25</v>
      </c>
      <c r="B6632">
        <f>3917.36606214862*(3/4)</f>
        <v>2938.0245466114611</v>
      </c>
    </row>
    <row r="6633" spans="1:2" x14ac:dyDescent="0.3">
      <c r="A6633" s="2">
        <v>45934.291666666657</v>
      </c>
      <c r="B6633">
        <f>3924.97181338216*(3/4)</f>
        <v>2943.728860036621</v>
      </c>
    </row>
    <row r="6634" spans="1:2" x14ac:dyDescent="0.3">
      <c r="A6634" s="2">
        <v>45934.333333333343</v>
      </c>
      <c r="B6634">
        <f>4171.14857727886*(3/4)</f>
        <v>3128.3614329591437</v>
      </c>
    </row>
    <row r="6635" spans="1:2" x14ac:dyDescent="0.3">
      <c r="A6635" s="2">
        <v>45934.375</v>
      </c>
      <c r="B6635">
        <f>3900.9823520085*(3/4)</f>
        <v>2925.7367640063721</v>
      </c>
    </row>
    <row r="6636" spans="1:2" x14ac:dyDescent="0.3">
      <c r="A6636" s="2">
        <v>45934.416666666657</v>
      </c>
      <c r="B6636">
        <f>3899.37689452669*(3/4)</f>
        <v>2924.5326708950165</v>
      </c>
    </row>
    <row r="6637" spans="1:2" x14ac:dyDescent="0.3">
      <c r="A6637" s="2">
        <v>45934.458333333343</v>
      </c>
      <c r="B6637">
        <f>3895.42768905621*(3/4)</f>
        <v>2921.5707667921542</v>
      </c>
    </row>
    <row r="6638" spans="1:2" x14ac:dyDescent="0.3">
      <c r="A6638" s="2">
        <v>45934.5</v>
      </c>
      <c r="B6638">
        <f>4355.58131455128*(3/4)</f>
        <v>3266.685985913462</v>
      </c>
    </row>
    <row r="6639" spans="1:2" x14ac:dyDescent="0.3">
      <c r="A6639" s="2">
        <v>45934.541666666657</v>
      </c>
      <c r="B6639">
        <f>4066.56429638971*(3/4)</f>
        <v>3049.923222292281</v>
      </c>
    </row>
    <row r="6640" spans="1:2" x14ac:dyDescent="0.3">
      <c r="A6640" s="2">
        <v>45934.583333333343</v>
      </c>
      <c r="B6640">
        <f>3994.0058747455*(3/4)</f>
        <v>2995.5044060591272</v>
      </c>
    </row>
    <row r="6641" spans="1:2" x14ac:dyDescent="0.3">
      <c r="A6641" s="2">
        <v>45934.625</v>
      </c>
      <c r="B6641">
        <f>4086.04043871653*(3/4)</f>
        <v>3064.5303290373945</v>
      </c>
    </row>
    <row r="6642" spans="1:2" x14ac:dyDescent="0.3">
      <c r="A6642" s="2">
        <v>45934.666666666657</v>
      </c>
      <c r="B6642">
        <f>4293.66123839599*(3/4)</f>
        <v>3220.2459287969946</v>
      </c>
    </row>
    <row r="6643" spans="1:2" x14ac:dyDescent="0.3">
      <c r="A6643" s="2">
        <v>45934.708333333343</v>
      </c>
      <c r="B6643">
        <f>3880.40171376365*(3/4)</f>
        <v>2910.3012853227374</v>
      </c>
    </row>
    <row r="6644" spans="1:2" x14ac:dyDescent="0.3">
      <c r="A6644" s="2">
        <v>45934.75</v>
      </c>
      <c r="B6644">
        <f>4097.42073255351*(3/4)</f>
        <v>3073.0655494151324</v>
      </c>
    </row>
    <row r="6645" spans="1:2" x14ac:dyDescent="0.3">
      <c r="A6645" s="2">
        <v>45934.791666666657</v>
      </c>
      <c r="B6645">
        <f>3902.51154216311*(3/4)</f>
        <v>2926.8836566223304</v>
      </c>
    </row>
    <row r="6646" spans="1:2" x14ac:dyDescent="0.3">
      <c r="A6646" s="2">
        <v>45934.833333333343</v>
      </c>
      <c r="B6646">
        <f>3848.3805265311*(3/4)</f>
        <v>2886.2853948983275</v>
      </c>
    </row>
    <row r="6647" spans="1:2" x14ac:dyDescent="0.3">
      <c r="A6647" s="2">
        <v>45934.875</v>
      </c>
      <c r="B6647">
        <f>4216.73518908839*(3/4)</f>
        <v>3162.5513918162951</v>
      </c>
    </row>
    <row r="6648" spans="1:2" x14ac:dyDescent="0.3">
      <c r="A6648" s="2">
        <v>45934.916666666657</v>
      </c>
      <c r="B6648">
        <f>3968.99353373431*(3/4)</f>
        <v>2976.7451503007355</v>
      </c>
    </row>
    <row r="6649" spans="1:2" x14ac:dyDescent="0.3">
      <c r="A6649" s="2">
        <v>45934.958333333343</v>
      </c>
      <c r="B6649">
        <f>4093.45111513807*(3/4)</f>
        <v>3070.0883363535522</v>
      </c>
    </row>
    <row r="6650" spans="1:2" x14ac:dyDescent="0.3">
      <c r="A6650" s="2">
        <v>45935</v>
      </c>
      <c r="B6650">
        <f>3863.8683842935*(3/4)</f>
        <v>2897.9012882201273</v>
      </c>
    </row>
    <row r="6651" spans="1:2" x14ac:dyDescent="0.3">
      <c r="A6651" s="2">
        <v>45935.041666666657</v>
      </c>
      <c r="B6651">
        <f>3955.51373138243*(3/4)</f>
        <v>2966.6352985368253</v>
      </c>
    </row>
    <row r="6652" spans="1:2" x14ac:dyDescent="0.3">
      <c r="A6652" s="2">
        <v>45935.083333333343</v>
      </c>
      <c r="B6652">
        <f>3876.36933339274*(3/4)</f>
        <v>2907.2770000445548</v>
      </c>
    </row>
    <row r="6653" spans="1:2" x14ac:dyDescent="0.3">
      <c r="A6653" s="2">
        <v>45935.125</v>
      </c>
      <c r="B6653">
        <f>4183.54853881632*(3/4)</f>
        <v>3137.6614041122366</v>
      </c>
    </row>
    <row r="6654" spans="1:2" x14ac:dyDescent="0.3">
      <c r="A6654" s="2">
        <v>45935.166666666657</v>
      </c>
      <c r="B6654">
        <f>4096.76369119899*(3/4)</f>
        <v>3072.5727683992445</v>
      </c>
    </row>
    <row r="6655" spans="1:2" x14ac:dyDescent="0.3">
      <c r="A6655" s="2">
        <v>45935.208333333343</v>
      </c>
      <c r="B6655">
        <f>3923.35720208873*(3/4)</f>
        <v>2942.5179015665499</v>
      </c>
    </row>
    <row r="6656" spans="1:2" x14ac:dyDescent="0.3">
      <c r="A6656" s="2">
        <v>45935.25</v>
      </c>
      <c r="B6656">
        <f>3702.83696207156*(3/4)</f>
        <v>2777.1277215536693</v>
      </c>
    </row>
    <row r="6657" spans="1:2" x14ac:dyDescent="0.3">
      <c r="A6657" s="2">
        <v>45935.291666666657</v>
      </c>
      <c r="B6657">
        <f>4093.51123304845*(3/4)</f>
        <v>3070.1334247863374</v>
      </c>
    </row>
    <row r="6658" spans="1:2" x14ac:dyDescent="0.3">
      <c r="A6658" s="2">
        <v>45935.333333333343</v>
      </c>
      <c r="B6658">
        <f>3295.54517436923*(3/4)</f>
        <v>2471.6588807769217</v>
      </c>
    </row>
    <row r="6659" spans="1:2" x14ac:dyDescent="0.3">
      <c r="A6659" s="2">
        <v>45935.375</v>
      </c>
      <c r="B6659">
        <f>3490.67280318671*(3/4)</f>
        <v>2618.0046023900345</v>
      </c>
    </row>
    <row r="6660" spans="1:2" x14ac:dyDescent="0.3">
      <c r="A6660" s="2">
        <v>45935.416666666657</v>
      </c>
      <c r="B6660">
        <f>3496.1983671315*(3/4)</f>
        <v>2622.1487753486226</v>
      </c>
    </row>
    <row r="6661" spans="1:2" x14ac:dyDescent="0.3">
      <c r="A6661" s="2">
        <v>45935.458333333343</v>
      </c>
      <c r="B6661">
        <f>3295.72597375301*(3/4)</f>
        <v>2471.7944803147561</v>
      </c>
    </row>
    <row r="6662" spans="1:2" x14ac:dyDescent="0.3">
      <c r="A6662" s="2">
        <v>45935.5</v>
      </c>
      <c r="B6662">
        <f>3705.93715967763*(3/4)</f>
        <v>2779.4528697582232</v>
      </c>
    </row>
    <row r="6663" spans="1:2" x14ac:dyDescent="0.3">
      <c r="A6663" s="2">
        <v>45935.541666666657</v>
      </c>
      <c r="B6663">
        <f>3017.2929368264*(3/4)</f>
        <v>2262.9697026197991</v>
      </c>
    </row>
    <row r="6664" spans="1:2" x14ac:dyDescent="0.3">
      <c r="A6664" s="2">
        <v>45935.583333333343</v>
      </c>
      <c r="B6664">
        <f>3088.49199467876*(3/4)</f>
        <v>2316.3689960090724</v>
      </c>
    </row>
    <row r="6665" spans="1:2" x14ac:dyDescent="0.3">
      <c r="A6665" s="2">
        <v>45935.625</v>
      </c>
      <c r="B6665">
        <f>3413.00097523649*(3/4)</f>
        <v>2559.7507314273698</v>
      </c>
    </row>
    <row r="6666" spans="1:2" x14ac:dyDescent="0.3">
      <c r="A6666" s="2">
        <v>45935.666666666657</v>
      </c>
      <c r="B6666">
        <f>2510.35934087831*(3/4)</f>
        <v>1882.7695056587318</v>
      </c>
    </row>
    <row r="6667" spans="1:2" x14ac:dyDescent="0.3">
      <c r="A6667" s="2">
        <v>45935.708333333343</v>
      </c>
      <c r="B6667">
        <f>4108.40889417592*(3/4)</f>
        <v>3081.3066706319387</v>
      </c>
    </row>
    <row r="6668" spans="1:2" x14ac:dyDescent="0.3">
      <c r="A6668" s="2">
        <v>45935.75</v>
      </c>
      <c r="B6668">
        <f>3846.45212707484*(3/4)</f>
        <v>2884.8390953061316</v>
      </c>
    </row>
    <row r="6669" spans="1:2" x14ac:dyDescent="0.3">
      <c r="A6669" s="2">
        <v>45935.791666666657</v>
      </c>
      <c r="B6669">
        <f>4163.18881819284*(3/4)</f>
        <v>3122.3916136446269</v>
      </c>
    </row>
    <row r="6670" spans="1:2" x14ac:dyDescent="0.3">
      <c r="A6670" s="2">
        <v>45935.833333333343</v>
      </c>
      <c r="B6670">
        <f>4276.07958694636*(3/4)</f>
        <v>3207.05969020977</v>
      </c>
    </row>
    <row r="6671" spans="1:2" x14ac:dyDescent="0.3">
      <c r="A6671" s="2">
        <v>45935.875</v>
      </c>
      <c r="B6671">
        <f>4079.48868876666*(3/4)</f>
        <v>3059.6165165749926</v>
      </c>
    </row>
    <row r="6672" spans="1:2" x14ac:dyDescent="0.3">
      <c r="A6672" s="2">
        <v>45935.916666666657</v>
      </c>
      <c r="B6672">
        <f>3752.14345440031*(3/4)</f>
        <v>2814.107590800234</v>
      </c>
    </row>
    <row r="6673" spans="1:2" x14ac:dyDescent="0.3">
      <c r="A6673" s="2">
        <v>45935.958333333343</v>
      </c>
      <c r="B6673">
        <f>3976.62230255891*(3/4)</f>
        <v>2982.4667269191855</v>
      </c>
    </row>
    <row r="6674" spans="1:2" x14ac:dyDescent="0.3">
      <c r="A6674" s="2">
        <v>45936</v>
      </c>
      <c r="B6674">
        <f>4214.23596178626*(3/4)</f>
        <v>3160.676971339698</v>
      </c>
    </row>
    <row r="6675" spans="1:2" x14ac:dyDescent="0.3">
      <c r="A6675" s="2">
        <v>45936.041666666657</v>
      </c>
      <c r="B6675">
        <f>3663.0878960027*(3/4)</f>
        <v>2747.3159220020266</v>
      </c>
    </row>
    <row r="6676" spans="1:2" x14ac:dyDescent="0.3">
      <c r="A6676" s="2">
        <v>45936.083333333343</v>
      </c>
      <c r="B6676">
        <f>4045.37512491376*(3/4)</f>
        <v>3034.031343685323</v>
      </c>
    </row>
    <row r="6677" spans="1:2" x14ac:dyDescent="0.3">
      <c r="A6677" s="2">
        <v>45936.125</v>
      </c>
      <c r="B6677">
        <f>4093.52551913594*(3/4)</f>
        <v>3070.1441393519526</v>
      </c>
    </row>
    <row r="6678" spans="1:2" x14ac:dyDescent="0.3">
      <c r="A6678" s="2">
        <v>45936.166666666657</v>
      </c>
      <c r="B6678">
        <f>3810.36344280918*(3/4)</f>
        <v>2857.7725821068821</v>
      </c>
    </row>
    <row r="6679" spans="1:2" x14ac:dyDescent="0.3">
      <c r="A6679" s="2">
        <v>45936.208333333343</v>
      </c>
      <c r="B6679">
        <f>4050.12970502668*(3/4)</f>
        <v>3037.5972787700084</v>
      </c>
    </row>
    <row r="6680" spans="1:2" x14ac:dyDescent="0.3">
      <c r="A6680" s="2">
        <v>45936.25</v>
      </c>
      <c r="B6680">
        <f>3883.7434800746*(3/4)</f>
        <v>2912.8076100559529</v>
      </c>
    </row>
    <row r="6681" spans="1:2" x14ac:dyDescent="0.3">
      <c r="A6681" s="2">
        <v>45936.291666666657</v>
      </c>
      <c r="B6681">
        <f>4299.37302732019*(3/4)</f>
        <v>3224.5297704901404</v>
      </c>
    </row>
    <row r="6682" spans="1:2" x14ac:dyDescent="0.3">
      <c r="A6682" s="2">
        <v>45936.333333333343</v>
      </c>
      <c r="B6682">
        <f>3749.11561478731*(3/4)</f>
        <v>2811.8367110904856</v>
      </c>
    </row>
    <row r="6683" spans="1:2" x14ac:dyDescent="0.3">
      <c r="A6683" s="2">
        <v>45936.375</v>
      </c>
      <c r="B6683">
        <f>3983.45119915804*(3/4)</f>
        <v>2987.588399368532</v>
      </c>
    </row>
    <row r="6684" spans="1:2" x14ac:dyDescent="0.3">
      <c r="A6684" s="2">
        <v>45936.416666666657</v>
      </c>
      <c r="B6684">
        <f>4146.34276781721*(3/4)</f>
        <v>3109.7570758629072</v>
      </c>
    </row>
    <row r="6685" spans="1:2" x14ac:dyDescent="0.3">
      <c r="A6685" s="2">
        <v>45936.458333333343</v>
      </c>
      <c r="B6685">
        <f>4075.86939876668*(3/4)</f>
        <v>3056.9020490750077</v>
      </c>
    </row>
    <row r="6686" spans="1:2" x14ac:dyDescent="0.3">
      <c r="A6686" s="2">
        <v>45936.5</v>
      </c>
      <c r="B6686">
        <f>4006.33096724195*(3/4)</f>
        <v>3004.748225431465</v>
      </c>
    </row>
    <row r="6687" spans="1:2" x14ac:dyDescent="0.3">
      <c r="A6687" s="2">
        <v>45936.541666666657</v>
      </c>
      <c r="B6687">
        <f>3978.97900987768*(3/4)</f>
        <v>2984.2342574082636</v>
      </c>
    </row>
    <row r="6688" spans="1:2" x14ac:dyDescent="0.3">
      <c r="A6688" s="2">
        <v>45936.583333333343</v>
      </c>
      <c r="B6688">
        <f>3856.9917265809*(3/4)</f>
        <v>2892.7437949356786</v>
      </c>
    </row>
    <row r="6689" spans="1:2" x14ac:dyDescent="0.3">
      <c r="A6689" s="2">
        <v>45936.625</v>
      </c>
      <c r="B6689">
        <f>3886.08555383535*(3/4)</f>
        <v>2914.5641653765115</v>
      </c>
    </row>
    <row r="6690" spans="1:2" x14ac:dyDescent="0.3">
      <c r="A6690" s="2">
        <v>45936.666666666657</v>
      </c>
      <c r="B6690">
        <f>4297.88530272176*(3/4)</f>
        <v>3223.4139770413194</v>
      </c>
    </row>
    <row r="6691" spans="1:2" x14ac:dyDescent="0.3">
      <c r="A6691" s="2">
        <v>45936.708333333343</v>
      </c>
      <c r="B6691">
        <f>3832.61737637514*(3/4)</f>
        <v>2874.4630322813518</v>
      </c>
    </row>
    <row r="6692" spans="1:2" x14ac:dyDescent="0.3">
      <c r="A6692" s="2">
        <v>45936.75</v>
      </c>
      <c r="B6692">
        <f>4167.91822447759*(3/4)</f>
        <v>3125.9386683581893</v>
      </c>
    </row>
    <row r="6693" spans="1:2" x14ac:dyDescent="0.3">
      <c r="A6693" s="2">
        <v>45936.791666666657</v>
      </c>
      <c r="B6693">
        <f>4136.29362388738*(3/4)</f>
        <v>3102.2202179155329</v>
      </c>
    </row>
    <row r="6694" spans="1:2" x14ac:dyDescent="0.3">
      <c r="A6694" s="2">
        <v>45936.833333333343</v>
      </c>
      <c r="B6694">
        <f>4153.1474894926*(3/4)</f>
        <v>3114.8606171194497</v>
      </c>
    </row>
    <row r="6695" spans="1:2" x14ac:dyDescent="0.3">
      <c r="A6695" s="2">
        <v>45936.875</v>
      </c>
      <c r="B6695">
        <f>4212.26921806462*(3/4)</f>
        <v>3159.2019135484652</v>
      </c>
    </row>
    <row r="6696" spans="1:2" x14ac:dyDescent="0.3">
      <c r="A6696" s="2">
        <v>45936.916666666657</v>
      </c>
      <c r="B6696">
        <f>3676.91333135621*(3/4)</f>
        <v>2757.6849985171548</v>
      </c>
    </row>
    <row r="6697" spans="1:2" x14ac:dyDescent="0.3">
      <c r="A6697" s="2">
        <v>45936.958333333343</v>
      </c>
      <c r="B6697">
        <f>3917.68045494963*(3/4)</f>
        <v>2938.2603412122207</v>
      </c>
    </row>
    <row r="6698" spans="1:2" x14ac:dyDescent="0.3">
      <c r="A6698" s="2">
        <v>45937</v>
      </c>
      <c r="B6698">
        <f>3832.38686232231*(3/4)</f>
        <v>2874.2901467417287</v>
      </c>
    </row>
    <row r="6699" spans="1:2" x14ac:dyDescent="0.3">
      <c r="A6699" s="2">
        <v>45937.041666666657</v>
      </c>
      <c r="B6699">
        <f>4070.31213475954*(3/4)</f>
        <v>3052.7341010696578</v>
      </c>
    </row>
    <row r="6700" spans="1:2" x14ac:dyDescent="0.3">
      <c r="A6700" s="2">
        <v>45937.083333333343</v>
      </c>
      <c r="B6700">
        <f>3936.67564885894*(3/4)</f>
        <v>2952.5067366442081</v>
      </c>
    </row>
    <row r="6701" spans="1:2" x14ac:dyDescent="0.3">
      <c r="A6701" s="2">
        <v>45937.125</v>
      </c>
      <c r="B6701">
        <f>3907.40771588935*(3/4)</f>
        <v>2930.5557869170098</v>
      </c>
    </row>
    <row r="6702" spans="1:2" x14ac:dyDescent="0.3">
      <c r="A6702" s="2">
        <v>45937.166666666657</v>
      </c>
      <c r="B6702">
        <f>3964.63231498817*(3/4)</f>
        <v>2973.4742362411243</v>
      </c>
    </row>
    <row r="6703" spans="1:2" x14ac:dyDescent="0.3">
      <c r="A6703" s="2">
        <v>45937.208333333343</v>
      </c>
      <c r="B6703">
        <f>3827.80119762994*(3/4)</f>
        <v>2870.8508982224575</v>
      </c>
    </row>
    <row r="6704" spans="1:2" x14ac:dyDescent="0.3">
      <c r="A6704" s="2">
        <v>45937.25</v>
      </c>
      <c r="B6704">
        <f>3570.46342895958*(3/4)</f>
        <v>2677.8475717196866</v>
      </c>
    </row>
    <row r="6705" spans="1:2" x14ac:dyDescent="0.3">
      <c r="A6705" s="2">
        <v>45937.291666666657</v>
      </c>
      <c r="B6705">
        <f>3913.24716040362*(3/4)</f>
        <v>2934.9353703027182</v>
      </c>
    </row>
    <row r="6706" spans="1:2" x14ac:dyDescent="0.3">
      <c r="A6706" s="2">
        <v>45937.333333333343</v>
      </c>
      <c r="B6706">
        <f>3928.99906007476*(3/4)</f>
        <v>2946.7492950560672</v>
      </c>
    </row>
    <row r="6707" spans="1:2" x14ac:dyDescent="0.3">
      <c r="A6707" s="2">
        <v>45937.375</v>
      </c>
      <c r="B6707">
        <f>3885.28026626481*(3/4)</f>
        <v>2913.9601996986053</v>
      </c>
    </row>
    <row r="6708" spans="1:2" x14ac:dyDescent="0.3">
      <c r="A6708" s="2">
        <v>45937.416666666657</v>
      </c>
      <c r="B6708">
        <f>4375.14801748258*(3/4)</f>
        <v>3281.3610131119331</v>
      </c>
    </row>
    <row r="6709" spans="1:2" x14ac:dyDescent="0.3">
      <c r="A6709" s="2">
        <v>45937.458333333343</v>
      </c>
      <c r="B6709">
        <f>4140.14147225838*(3/4)</f>
        <v>3105.1061041937855</v>
      </c>
    </row>
    <row r="6710" spans="1:2" x14ac:dyDescent="0.3">
      <c r="A6710" s="2">
        <v>45937.5</v>
      </c>
      <c r="B6710">
        <f>4200.17507358083*(3/4)</f>
        <v>3150.1313051856241</v>
      </c>
    </row>
    <row r="6711" spans="1:2" x14ac:dyDescent="0.3">
      <c r="A6711" s="2">
        <v>45937.541666666657</v>
      </c>
      <c r="B6711">
        <f>4186.25851220108*(3/4)</f>
        <v>3139.6938841508063</v>
      </c>
    </row>
    <row r="6712" spans="1:2" x14ac:dyDescent="0.3">
      <c r="A6712" s="2">
        <v>45937.583333333343</v>
      </c>
      <c r="B6712">
        <f>3795.49497710488*(3/4)</f>
        <v>2846.6212328286624</v>
      </c>
    </row>
    <row r="6713" spans="1:2" x14ac:dyDescent="0.3">
      <c r="A6713" s="2">
        <v>45937.625</v>
      </c>
      <c r="B6713">
        <f>4139.91482243734*(3/4)</f>
        <v>3104.9361168280025</v>
      </c>
    </row>
    <row r="6714" spans="1:2" x14ac:dyDescent="0.3">
      <c r="A6714" s="2">
        <v>45937.666666666657</v>
      </c>
      <c r="B6714">
        <f>4020.3802343162*(3/4)</f>
        <v>3015.2851757371513</v>
      </c>
    </row>
    <row r="6715" spans="1:2" x14ac:dyDescent="0.3">
      <c r="A6715" s="2">
        <v>45937.708333333343</v>
      </c>
      <c r="B6715">
        <f>4123.06640527806*(3/4)</f>
        <v>3092.2998039585464</v>
      </c>
    </row>
    <row r="6716" spans="1:2" x14ac:dyDescent="0.3">
      <c r="A6716" s="2">
        <v>45937.75</v>
      </c>
      <c r="B6716">
        <f>3916.83591595225*(3/4)</f>
        <v>2937.6269369641882</v>
      </c>
    </row>
    <row r="6717" spans="1:2" x14ac:dyDescent="0.3">
      <c r="A6717" s="2">
        <v>45937.791666666657</v>
      </c>
      <c r="B6717">
        <f>3985.14510881885*(3/4)</f>
        <v>2988.8588316141395</v>
      </c>
    </row>
    <row r="6718" spans="1:2" x14ac:dyDescent="0.3">
      <c r="A6718" s="2">
        <v>45937.833333333343</v>
      </c>
      <c r="B6718">
        <f>4212.36174283806*(3/4)</f>
        <v>3159.2713071285461</v>
      </c>
    </row>
    <row r="6719" spans="1:2" x14ac:dyDescent="0.3">
      <c r="A6719" s="2">
        <v>45937.875</v>
      </c>
      <c r="B6719">
        <f>4325.96391610781*(3/4)</f>
        <v>3244.47293708086</v>
      </c>
    </row>
    <row r="6720" spans="1:2" x14ac:dyDescent="0.3">
      <c r="A6720" s="2">
        <v>45937.916666666657</v>
      </c>
      <c r="B6720">
        <f>3946.90318174576*(3/4)</f>
        <v>2960.1773863093217</v>
      </c>
    </row>
    <row r="6721" spans="1:2" x14ac:dyDescent="0.3">
      <c r="A6721" s="2">
        <v>45937.958333333343</v>
      </c>
      <c r="B6721">
        <f>3805.70341961209*(3/4)</f>
        <v>2854.2775647090712</v>
      </c>
    </row>
    <row r="6722" spans="1:2" x14ac:dyDescent="0.3">
      <c r="A6722" s="2">
        <v>45938</v>
      </c>
      <c r="B6722">
        <f>3861.90985962167*(3/4)</f>
        <v>2896.4323947162511</v>
      </c>
    </row>
    <row r="6723" spans="1:2" x14ac:dyDescent="0.3">
      <c r="A6723" s="2">
        <v>45938.041666666657</v>
      </c>
      <c r="B6723">
        <f>4032.59879881566*(3/4)</f>
        <v>3024.4490991117423</v>
      </c>
    </row>
    <row r="6724" spans="1:2" x14ac:dyDescent="0.3">
      <c r="A6724" s="2">
        <v>45938.083333333343</v>
      </c>
      <c r="B6724">
        <f>4137.64495026848*(3/4)</f>
        <v>3103.2337127013579</v>
      </c>
    </row>
    <row r="6725" spans="1:2" x14ac:dyDescent="0.3">
      <c r="A6725" s="2">
        <v>45938.125</v>
      </c>
      <c r="B6725">
        <f>3996.65651290346*(3/4)</f>
        <v>2997.4923846775978</v>
      </c>
    </row>
    <row r="6726" spans="1:2" x14ac:dyDescent="0.3">
      <c r="A6726" s="2">
        <v>45938.166666666657</v>
      </c>
      <c r="B6726">
        <f>4107.17261330703*(3/4)</f>
        <v>3080.3794599802759</v>
      </c>
    </row>
    <row r="6727" spans="1:2" x14ac:dyDescent="0.3">
      <c r="A6727" s="2">
        <v>45938.208333333343</v>
      </c>
      <c r="B6727">
        <f>3845.22835124426*(3/4)</f>
        <v>2883.9212634331921</v>
      </c>
    </row>
    <row r="6728" spans="1:2" x14ac:dyDescent="0.3">
      <c r="A6728" s="2">
        <v>45938.25</v>
      </c>
      <c r="B6728">
        <f>3621.16253252529*(3/4)</f>
        <v>2715.8718993939697</v>
      </c>
    </row>
    <row r="6729" spans="1:2" x14ac:dyDescent="0.3">
      <c r="A6729" s="2">
        <v>45938.291666666657</v>
      </c>
      <c r="B6729">
        <f>4156.69432196234*(3/4)</f>
        <v>3117.5207414717561</v>
      </c>
    </row>
    <row r="6730" spans="1:2" x14ac:dyDescent="0.3">
      <c r="A6730" s="2">
        <v>45938.333333333343</v>
      </c>
      <c r="B6730">
        <f>4450.5223615847*(3/4)</f>
        <v>3337.8917711885224</v>
      </c>
    </row>
    <row r="6731" spans="1:2" x14ac:dyDescent="0.3">
      <c r="A6731" s="2">
        <v>45938.375</v>
      </c>
      <c r="B6731">
        <f>3927.58455480412*(3/4)</f>
        <v>2945.6884161030875</v>
      </c>
    </row>
    <row r="6732" spans="1:2" x14ac:dyDescent="0.3">
      <c r="A6732" s="2">
        <v>45938.416666666657</v>
      </c>
      <c r="B6732">
        <f>3800.97046774367*(3/4)</f>
        <v>2850.7278508077511</v>
      </c>
    </row>
    <row r="6733" spans="1:2" x14ac:dyDescent="0.3">
      <c r="A6733" s="2">
        <v>45938.458333333343</v>
      </c>
      <c r="B6733">
        <f>4231.44202150564*(3/4)</f>
        <v>3173.5815161292326</v>
      </c>
    </row>
    <row r="6734" spans="1:2" x14ac:dyDescent="0.3">
      <c r="A6734" s="2">
        <v>45938.5</v>
      </c>
      <c r="B6734">
        <f>4187.16700617284*(3/4)</f>
        <v>3140.3752546296273</v>
      </c>
    </row>
    <row r="6735" spans="1:2" x14ac:dyDescent="0.3">
      <c r="A6735" s="2">
        <v>45938.541666666657</v>
      </c>
      <c r="B6735">
        <f>4074.19142456593*(3/4)</f>
        <v>3055.6435684244443</v>
      </c>
    </row>
    <row r="6736" spans="1:2" x14ac:dyDescent="0.3">
      <c r="A6736" s="2">
        <v>45938.583333333343</v>
      </c>
      <c r="B6736">
        <f>3832.30469018924*(3/4)</f>
        <v>2874.2285176419336</v>
      </c>
    </row>
    <row r="6737" spans="1:2" x14ac:dyDescent="0.3">
      <c r="A6737" s="2">
        <v>45938.625</v>
      </c>
      <c r="B6737">
        <f>3816.84726683102*(3/4)</f>
        <v>2862.6354501232649</v>
      </c>
    </row>
    <row r="6738" spans="1:2" x14ac:dyDescent="0.3">
      <c r="A6738" s="2">
        <v>45938.666666666657</v>
      </c>
      <c r="B6738">
        <f>4195.53259926463*(3/4)</f>
        <v>3146.6494494484741</v>
      </c>
    </row>
    <row r="6739" spans="1:2" x14ac:dyDescent="0.3">
      <c r="A6739" s="2">
        <v>45938.708333333343</v>
      </c>
      <c r="B6739">
        <f>3936.03947507728*(3/4)</f>
        <v>2952.0296063079631</v>
      </c>
    </row>
    <row r="6740" spans="1:2" x14ac:dyDescent="0.3">
      <c r="A6740" s="2">
        <v>45938.75</v>
      </c>
      <c r="B6740">
        <f>3802.80749430096*(3/4)</f>
        <v>2852.1056207257216</v>
      </c>
    </row>
    <row r="6741" spans="1:2" x14ac:dyDescent="0.3">
      <c r="A6741" s="2">
        <v>45938.791666666657</v>
      </c>
      <c r="B6741">
        <f>4185.28039095926*(3/4)</f>
        <v>3138.9602932194466</v>
      </c>
    </row>
    <row r="6742" spans="1:2" x14ac:dyDescent="0.3">
      <c r="A6742" s="2">
        <v>45938.833333333343</v>
      </c>
      <c r="B6742">
        <f>4022.65024528328*(3/4)</f>
        <v>3016.9876839624621</v>
      </c>
    </row>
    <row r="6743" spans="1:2" x14ac:dyDescent="0.3">
      <c r="A6743" s="2">
        <v>45938.875</v>
      </c>
      <c r="B6743">
        <f>3861.106113089*(3/4)</f>
        <v>2895.8295848167509</v>
      </c>
    </row>
    <row r="6744" spans="1:2" x14ac:dyDescent="0.3">
      <c r="A6744" s="2">
        <v>45938.916666666657</v>
      </c>
      <c r="B6744">
        <f>3775.21751113942*(3/4)</f>
        <v>2831.4131333545638</v>
      </c>
    </row>
    <row r="6745" spans="1:2" x14ac:dyDescent="0.3">
      <c r="A6745" s="2">
        <v>45938.958333333343</v>
      </c>
      <c r="B6745">
        <f>3795.92078137529*(3/4)</f>
        <v>2846.9405860314696</v>
      </c>
    </row>
    <row r="6746" spans="1:2" x14ac:dyDescent="0.3">
      <c r="A6746" s="2">
        <v>45939</v>
      </c>
      <c r="B6746">
        <f>3810.92172316265*(3/4)</f>
        <v>2858.1912923719897</v>
      </c>
    </row>
    <row r="6747" spans="1:2" x14ac:dyDescent="0.3">
      <c r="A6747" s="2">
        <v>45939.041666666657</v>
      </c>
      <c r="B6747">
        <f>3814.48475807213*(3/4)</f>
        <v>2860.8635685540967</v>
      </c>
    </row>
    <row r="6748" spans="1:2" x14ac:dyDescent="0.3">
      <c r="A6748" s="2">
        <v>45939.083333333343</v>
      </c>
      <c r="B6748">
        <f>3734.46261915066*(3/4)</f>
        <v>2800.8469643629924</v>
      </c>
    </row>
    <row r="6749" spans="1:2" x14ac:dyDescent="0.3">
      <c r="A6749" s="2">
        <v>45939.125</v>
      </c>
      <c r="B6749">
        <f>3887.09042432337*(3/4)</f>
        <v>2915.3178182425268</v>
      </c>
    </row>
    <row r="6750" spans="1:2" x14ac:dyDescent="0.3">
      <c r="A6750" s="2">
        <v>45939.166666666657</v>
      </c>
      <c r="B6750">
        <f>4011.26737031222*(3/4)</f>
        <v>3008.4505277341641</v>
      </c>
    </row>
    <row r="6751" spans="1:2" x14ac:dyDescent="0.3">
      <c r="A6751" s="2">
        <v>45939.208333333343</v>
      </c>
      <c r="B6751">
        <f>2832.77413753675*(3/4)</f>
        <v>2124.5806031525653</v>
      </c>
    </row>
    <row r="6752" spans="1:2" x14ac:dyDescent="0.3">
      <c r="A6752" s="2">
        <v>45939.25</v>
      </c>
      <c r="B6752">
        <f>3703.33717844855*(3/4)</f>
        <v>2777.502883836411</v>
      </c>
    </row>
    <row r="6753" spans="1:2" x14ac:dyDescent="0.3">
      <c r="A6753" s="2">
        <v>45939.291666666657</v>
      </c>
      <c r="B6753">
        <f>3795.89913417955*(3/4)</f>
        <v>2846.9243506346629</v>
      </c>
    </row>
    <row r="6754" spans="1:2" x14ac:dyDescent="0.3">
      <c r="A6754" s="2">
        <v>45939.333333333343</v>
      </c>
      <c r="B6754">
        <f>4195.24654533946*(3/4)</f>
        <v>3146.4349090045921</v>
      </c>
    </row>
    <row r="6755" spans="1:2" x14ac:dyDescent="0.3">
      <c r="A6755" s="2">
        <v>45939.375</v>
      </c>
      <c r="B6755">
        <f>3897.45512799313*(3/4)</f>
        <v>2923.0913459948483</v>
      </c>
    </row>
    <row r="6756" spans="1:2" x14ac:dyDescent="0.3">
      <c r="A6756" s="2">
        <v>45939.416666666657</v>
      </c>
      <c r="B6756">
        <f>4005.95777087416*(3/4)</f>
        <v>3004.4683281556199</v>
      </c>
    </row>
    <row r="6757" spans="1:2" x14ac:dyDescent="0.3">
      <c r="A6757" s="2">
        <v>45939.458333333343</v>
      </c>
      <c r="B6757">
        <f>4188.64816283745*(3/4)</f>
        <v>3141.4861221280853</v>
      </c>
    </row>
    <row r="6758" spans="1:2" x14ac:dyDescent="0.3">
      <c r="A6758" s="2">
        <v>45939.5</v>
      </c>
      <c r="B6758">
        <f>4005.79562597004*(3/4)</f>
        <v>3004.3467194775276</v>
      </c>
    </row>
    <row r="6759" spans="1:2" x14ac:dyDescent="0.3">
      <c r="A6759" s="2">
        <v>45939.541666666657</v>
      </c>
      <c r="B6759">
        <f>3958.97558762875*(3/4)</f>
        <v>2969.2316907215632</v>
      </c>
    </row>
    <row r="6760" spans="1:2" x14ac:dyDescent="0.3">
      <c r="A6760" s="2">
        <v>45939.583333333343</v>
      </c>
      <c r="B6760">
        <f>3826.42099683741*(3/4)</f>
        <v>2869.8157476280558</v>
      </c>
    </row>
    <row r="6761" spans="1:2" x14ac:dyDescent="0.3">
      <c r="A6761" s="2">
        <v>45939.625</v>
      </c>
      <c r="B6761">
        <f>4104.79010415826*(3/4)</f>
        <v>3078.5925781186934</v>
      </c>
    </row>
    <row r="6762" spans="1:2" x14ac:dyDescent="0.3">
      <c r="A6762" s="2">
        <v>45939.666666666657</v>
      </c>
      <c r="B6762">
        <f>4457.05085312804*(3/4)</f>
        <v>3342.7881398460322</v>
      </c>
    </row>
    <row r="6763" spans="1:2" x14ac:dyDescent="0.3">
      <c r="A6763" s="2">
        <v>45939.708333333343</v>
      </c>
      <c r="B6763">
        <f>3863.63524488973*(3/4)</f>
        <v>2897.7264336672943</v>
      </c>
    </row>
    <row r="6764" spans="1:2" x14ac:dyDescent="0.3">
      <c r="A6764" s="2">
        <v>45939.75</v>
      </c>
      <c r="B6764">
        <f>4015.9905077823*(3/4)</f>
        <v>3011.9928808367222</v>
      </c>
    </row>
    <row r="6765" spans="1:2" x14ac:dyDescent="0.3">
      <c r="A6765" s="2">
        <v>45939.791666666657</v>
      </c>
      <c r="B6765">
        <f>4133.05350715697*(3/4)</f>
        <v>3099.7901303677272</v>
      </c>
    </row>
    <row r="6766" spans="1:2" x14ac:dyDescent="0.3">
      <c r="A6766" s="2">
        <v>45939.833333333343</v>
      </c>
      <c r="B6766">
        <f>4450.12677000789*(3/4)</f>
        <v>3337.5950775059209</v>
      </c>
    </row>
    <row r="6767" spans="1:2" x14ac:dyDescent="0.3">
      <c r="A6767" s="2">
        <v>45939.875</v>
      </c>
      <c r="B6767">
        <f>4031.26245386377*(3/4)</f>
        <v>3023.4468403978244</v>
      </c>
    </row>
    <row r="6768" spans="1:2" x14ac:dyDescent="0.3">
      <c r="A6768" s="2">
        <v>45939.916666666657</v>
      </c>
      <c r="B6768">
        <f>3722.7114198885*(3/4)</f>
        <v>2792.0335649163712</v>
      </c>
    </row>
    <row r="6769" spans="1:2" x14ac:dyDescent="0.3">
      <c r="A6769" s="2">
        <v>45939.958333333343</v>
      </c>
      <c r="B6769">
        <f>3834.97601526932*(3/4)</f>
        <v>2876.232011451993</v>
      </c>
    </row>
    <row r="6770" spans="1:2" x14ac:dyDescent="0.3">
      <c r="A6770" s="2">
        <v>45940</v>
      </c>
      <c r="B6770">
        <f>3701.77819469454*(3/4)</f>
        <v>2776.333646020903</v>
      </c>
    </row>
    <row r="6771" spans="1:2" x14ac:dyDescent="0.3">
      <c r="A6771" s="2">
        <v>45940.041666666657</v>
      </c>
      <c r="B6771">
        <f>3872.40734172987*(3/4)</f>
        <v>2904.3055062974013</v>
      </c>
    </row>
    <row r="6772" spans="1:2" x14ac:dyDescent="0.3">
      <c r="A6772" s="2">
        <v>45940.083333333343</v>
      </c>
      <c r="B6772">
        <f>4236.68749788645*(3/4)</f>
        <v>3177.5156234148394</v>
      </c>
    </row>
    <row r="6773" spans="1:2" x14ac:dyDescent="0.3">
      <c r="A6773" s="2">
        <v>45940.125</v>
      </c>
      <c r="B6773">
        <f>3815.42723558426*(3/4)</f>
        <v>2861.5704266881962</v>
      </c>
    </row>
    <row r="6774" spans="1:2" x14ac:dyDescent="0.3">
      <c r="A6774" s="2">
        <v>45940.166666666657</v>
      </c>
      <c r="B6774">
        <f>3829.50395045524*(3/4)</f>
        <v>2872.1279628414331</v>
      </c>
    </row>
    <row r="6775" spans="1:2" x14ac:dyDescent="0.3">
      <c r="A6775" s="2">
        <v>45940.208333333343</v>
      </c>
      <c r="B6775">
        <f>3683.85752659592*(3/4)</f>
        <v>2762.8931449469383</v>
      </c>
    </row>
    <row r="6776" spans="1:2" x14ac:dyDescent="0.3">
      <c r="A6776" s="2">
        <v>45940.25</v>
      </c>
      <c r="B6776">
        <f>3625.36246292199*(3/4)</f>
        <v>2719.0218471914923</v>
      </c>
    </row>
    <row r="6777" spans="1:2" x14ac:dyDescent="0.3">
      <c r="A6777" s="2">
        <v>45940.291666666657</v>
      </c>
      <c r="B6777">
        <f>3995.51317052656*(3/4)</f>
        <v>2996.6348778949177</v>
      </c>
    </row>
    <row r="6778" spans="1:2" x14ac:dyDescent="0.3">
      <c r="A6778" s="2">
        <v>45940.333333333343</v>
      </c>
      <c r="B6778">
        <f>4160.07846217991*(3/4)</f>
        <v>3120.0588466349309</v>
      </c>
    </row>
    <row r="6779" spans="1:2" x14ac:dyDescent="0.3">
      <c r="A6779" s="2">
        <v>45940.375</v>
      </c>
      <c r="B6779">
        <f>4219.57370163053*(3/4)</f>
        <v>3164.6802762228999</v>
      </c>
    </row>
    <row r="6780" spans="1:2" x14ac:dyDescent="0.3">
      <c r="A6780" s="2">
        <v>45940.416666666657</v>
      </c>
      <c r="B6780">
        <f>3907.1167986799*(3/4)</f>
        <v>2930.3375990099257</v>
      </c>
    </row>
    <row r="6781" spans="1:2" x14ac:dyDescent="0.3">
      <c r="A6781" s="2">
        <v>45940.458333333343</v>
      </c>
      <c r="B6781">
        <f>4175.28437197853*(3/4)</f>
        <v>3131.4632789838965</v>
      </c>
    </row>
    <row r="6782" spans="1:2" x14ac:dyDescent="0.3">
      <c r="A6782" s="2">
        <v>45940.5</v>
      </c>
      <c r="B6782">
        <f>3984.26435872395*(3/4)</f>
        <v>2988.1982690429595</v>
      </c>
    </row>
    <row r="6783" spans="1:2" x14ac:dyDescent="0.3">
      <c r="A6783" s="2">
        <v>45940.541666666657</v>
      </c>
      <c r="B6783">
        <f>4255.23690408357*(3/4)</f>
        <v>3191.4276780626797</v>
      </c>
    </row>
    <row r="6784" spans="1:2" x14ac:dyDescent="0.3">
      <c r="A6784" s="2">
        <v>45940.583333333343</v>
      </c>
      <c r="B6784">
        <f>3819.15731220885*(3/4)</f>
        <v>2864.36798415664</v>
      </c>
    </row>
    <row r="6785" spans="1:2" x14ac:dyDescent="0.3">
      <c r="A6785" s="2">
        <v>45940.625</v>
      </c>
      <c r="B6785">
        <f>3927.3302645358*(3/4)</f>
        <v>2945.4976984018535</v>
      </c>
    </row>
    <row r="6786" spans="1:2" x14ac:dyDescent="0.3">
      <c r="A6786" s="2">
        <v>45940.666666666657</v>
      </c>
      <c r="B6786">
        <f>4134.27971638668*(3/4)</f>
        <v>3100.7097872900072</v>
      </c>
    </row>
    <row r="6787" spans="1:2" x14ac:dyDescent="0.3">
      <c r="A6787" s="2">
        <v>45940.708333333343</v>
      </c>
      <c r="B6787">
        <f>4122.43688689942*(3/4)</f>
        <v>3091.8276651745614</v>
      </c>
    </row>
    <row r="6788" spans="1:2" x14ac:dyDescent="0.3">
      <c r="A6788" s="2">
        <v>45940.75</v>
      </c>
      <c r="B6788">
        <f>4085.58674637715*(3/4)</f>
        <v>3064.1900597828635</v>
      </c>
    </row>
    <row r="6789" spans="1:2" x14ac:dyDescent="0.3">
      <c r="A6789" s="2">
        <v>45940.791666666657</v>
      </c>
      <c r="B6789">
        <f>3859.3758745377*(3/4)</f>
        <v>2894.5319059032745</v>
      </c>
    </row>
    <row r="6790" spans="1:2" x14ac:dyDescent="0.3">
      <c r="A6790" s="2">
        <v>45940.833333333343</v>
      </c>
      <c r="B6790">
        <f>4080.31097221802*(3/4)</f>
        <v>3060.2332291635139</v>
      </c>
    </row>
    <row r="6791" spans="1:2" x14ac:dyDescent="0.3">
      <c r="A6791" s="2">
        <v>45940.875</v>
      </c>
      <c r="B6791">
        <f>4286.66847924891*(3/4)</f>
        <v>3215.0013594366842</v>
      </c>
    </row>
    <row r="6792" spans="1:2" x14ac:dyDescent="0.3">
      <c r="A6792" s="2">
        <v>45940.916666666657</v>
      </c>
      <c r="B6792">
        <f>3858.58560876309*(3/4)</f>
        <v>2893.9392065723205</v>
      </c>
    </row>
    <row r="6793" spans="1:2" x14ac:dyDescent="0.3">
      <c r="A6793" s="2">
        <v>45940.958333333343</v>
      </c>
      <c r="B6793">
        <f>3773.77564057569*(3/4)</f>
        <v>2830.3317304317679</v>
      </c>
    </row>
    <row r="6794" spans="1:2" x14ac:dyDescent="0.3">
      <c r="A6794" s="2">
        <v>45941</v>
      </c>
      <c r="B6794">
        <f>3962.60299552946*(3/4)</f>
        <v>2971.952246647098</v>
      </c>
    </row>
    <row r="6795" spans="1:2" x14ac:dyDescent="0.3">
      <c r="A6795" s="2">
        <v>45941.041666666657</v>
      </c>
      <c r="B6795">
        <f>3806.03528424614*(3/4)</f>
        <v>2854.5264631846085</v>
      </c>
    </row>
    <row r="6796" spans="1:2" x14ac:dyDescent="0.3">
      <c r="A6796" s="2">
        <v>45941.083333333343</v>
      </c>
      <c r="B6796">
        <f>3977.59112536628*(3/4)</f>
        <v>2983.1933440247076</v>
      </c>
    </row>
    <row r="6797" spans="1:2" x14ac:dyDescent="0.3">
      <c r="A6797" s="2">
        <v>45941.125</v>
      </c>
      <c r="B6797">
        <f>3887.6977348971*(3/4)</f>
        <v>2915.7733011728219</v>
      </c>
    </row>
    <row r="6798" spans="1:2" x14ac:dyDescent="0.3">
      <c r="A6798" s="2">
        <v>45941.166666666657</v>
      </c>
      <c r="B6798">
        <f>3622.7893071383*(3/4)</f>
        <v>2717.0919803537249</v>
      </c>
    </row>
    <row r="6799" spans="1:2" x14ac:dyDescent="0.3">
      <c r="A6799" s="2">
        <v>45941.208333333343</v>
      </c>
      <c r="B6799">
        <f>3956.66115626354*(3/4)</f>
        <v>2967.4958671976588</v>
      </c>
    </row>
    <row r="6800" spans="1:2" x14ac:dyDescent="0.3">
      <c r="A6800" s="2">
        <v>45941.25</v>
      </c>
      <c r="B6800">
        <f>3989.5781474405*(3/4)</f>
        <v>2992.1836105803727</v>
      </c>
    </row>
    <row r="6801" spans="1:2" x14ac:dyDescent="0.3">
      <c r="A6801" s="2">
        <v>45941.291666666657</v>
      </c>
      <c r="B6801">
        <f>4072.71624304028*(3/4)</f>
        <v>3054.5371822802126</v>
      </c>
    </row>
    <row r="6802" spans="1:2" x14ac:dyDescent="0.3">
      <c r="A6802" s="2">
        <v>45941.333333333343</v>
      </c>
      <c r="B6802">
        <f>4361.20094301857*(3/4)</f>
        <v>3270.9007072639242</v>
      </c>
    </row>
    <row r="6803" spans="1:2" x14ac:dyDescent="0.3">
      <c r="A6803" s="2">
        <v>45941.375</v>
      </c>
      <c r="B6803">
        <f>3862.22315074897*(3/4)</f>
        <v>2896.6673630617274</v>
      </c>
    </row>
    <row r="6804" spans="1:2" x14ac:dyDescent="0.3">
      <c r="A6804" s="2">
        <v>45941.416666666657</v>
      </c>
      <c r="B6804">
        <f>4214.79681702575*(3/4)</f>
        <v>3161.0976127693111</v>
      </c>
    </row>
    <row r="6805" spans="1:2" x14ac:dyDescent="0.3">
      <c r="A6805" s="2">
        <v>45941.458333333343</v>
      </c>
      <c r="B6805">
        <f>4347.93805842287*(3/4)</f>
        <v>3260.9535438171547</v>
      </c>
    </row>
    <row r="6806" spans="1:2" x14ac:dyDescent="0.3">
      <c r="A6806" s="2">
        <v>45941.5</v>
      </c>
      <c r="B6806">
        <f>4068.11873205932*(3/4)</f>
        <v>3051.0890490444908</v>
      </c>
    </row>
    <row r="6807" spans="1:2" x14ac:dyDescent="0.3">
      <c r="A6807" s="2">
        <v>45941.541666666657</v>
      </c>
      <c r="B6807">
        <f>3937.68343010282*(3/4)</f>
        <v>2953.2625725771186</v>
      </c>
    </row>
    <row r="6808" spans="1:2" x14ac:dyDescent="0.3">
      <c r="A6808" s="2">
        <v>45941.583333333343</v>
      </c>
      <c r="B6808">
        <f>3982.63319000584*(3/4)</f>
        <v>2986.9748925043837</v>
      </c>
    </row>
    <row r="6809" spans="1:2" x14ac:dyDescent="0.3">
      <c r="A6809" s="2">
        <v>45941.625</v>
      </c>
      <c r="B6809">
        <f>4293.40576842523*(3/4)</f>
        <v>3220.0543263189261</v>
      </c>
    </row>
    <row r="6810" spans="1:2" x14ac:dyDescent="0.3">
      <c r="A6810" s="2">
        <v>45941.666666666657</v>
      </c>
      <c r="B6810">
        <f>4175.03697771707*(3/4)</f>
        <v>3131.277733287799</v>
      </c>
    </row>
    <row r="6811" spans="1:2" x14ac:dyDescent="0.3">
      <c r="A6811" s="2">
        <v>45941.708333333343</v>
      </c>
      <c r="B6811">
        <f>3834.51916873578*(3/4)</f>
        <v>2875.8893765518319</v>
      </c>
    </row>
    <row r="6812" spans="1:2" x14ac:dyDescent="0.3">
      <c r="A6812" s="2">
        <v>45941.75</v>
      </c>
      <c r="B6812">
        <f>3972.29391835432*(3/4)</f>
        <v>2979.2204387657366</v>
      </c>
    </row>
    <row r="6813" spans="1:2" x14ac:dyDescent="0.3">
      <c r="A6813" s="2">
        <v>45941.791666666657</v>
      </c>
      <c r="B6813">
        <f>4358.88220319464*(3/4)</f>
        <v>3269.1616523959801</v>
      </c>
    </row>
    <row r="6814" spans="1:2" x14ac:dyDescent="0.3">
      <c r="A6814" s="2">
        <v>45941.833333333343</v>
      </c>
      <c r="B6814">
        <f>3799.24670438238*(3/4)</f>
        <v>2849.4350282867827</v>
      </c>
    </row>
    <row r="6815" spans="1:2" x14ac:dyDescent="0.3">
      <c r="A6815" s="2">
        <v>45941.875</v>
      </c>
      <c r="B6815">
        <f>4111.70102405043*(3/4)</f>
        <v>3083.7757680378245</v>
      </c>
    </row>
    <row r="6816" spans="1:2" x14ac:dyDescent="0.3">
      <c r="A6816" s="2">
        <v>45941.916666666657</v>
      </c>
      <c r="B6816">
        <f>4015.90897116042*(3/4)</f>
        <v>3011.9317283703112</v>
      </c>
    </row>
    <row r="6817" spans="1:2" x14ac:dyDescent="0.3">
      <c r="A6817" s="2">
        <v>45941.958333333343</v>
      </c>
      <c r="B6817">
        <f>3807.32597791164*(3/4)</f>
        <v>2855.4944834337284</v>
      </c>
    </row>
    <row r="6818" spans="1:2" x14ac:dyDescent="0.3">
      <c r="A6818" s="2">
        <v>45942</v>
      </c>
      <c r="B6818">
        <f>4093.59402707985*(3/4)</f>
        <v>3070.1955203098883</v>
      </c>
    </row>
    <row r="6819" spans="1:2" x14ac:dyDescent="0.3">
      <c r="A6819" s="2">
        <v>45942.041666666657</v>
      </c>
      <c r="B6819">
        <f>3796.47058008057*(3/4)</f>
        <v>2847.3529350604249</v>
      </c>
    </row>
    <row r="6820" spans="1:2" x14ac:dyDescent="0.3">
      <c r="A6820" s="2">
        <v>45942.083333333343</v>
      </c>
      <c r="B6820">
        <f>3906.81854878256*(3/4)</f>
        <v>2930.1139115869219</v>
      </c>
    </row>
    <row r="6821" spans="1:2" x14ac:dyDescent="0.3">
      <c r="A6821" s="2">
        <v>45942.125</v>
      </c>
      <c r="B6821">
        <f>3943.55727665123*(3/4)</f>
        <v>2957.6679574884238</v>
      </c>
    </row>
    <row r="6822" spans="1:2" x14ac:dyDescent="0.3">
      <c r="A6822" s="2">
        <v>45942.166666666657</v>
      </c>
      <c r="B6822">
        <f>3754.23633994304*(3/4)</f>
        <v>2815.6772549572834</v>
      </c>
    </row>
    <row r="6823" spans="1:2" x14ac:dyDescent="0.3">
      <c r="A6823" s="2">
        <v>45942.208333333343</v>
      </c>
      <c r="B6823">
        <f>3904.1833295599*(3/4)</f>
        <v>2928.1374971699274</v>
      </c>
    </row>
    <row r="6824" spans="1:2" x14ac:dyDescent="0.3">
      <c r="A6824" s="2">
        <v>45942.25</v>
      </c>
      <c r="B6824">
        <f>3615.42332365157*(3/4)</f>
        <v>2711.5674927386744</v>
      </c>
    </row>
    <row r="6825" spans="1:2" x14ac:dyDescent="0.3">
      <c r="A6825" s="2">
        <v>45942.291666666657</v>
      </c>
      <c r="B6825">
        <f>4069.57012167734*(3/4)</f>
        <v>3052.1775912580015</v>
      </c>
    </row>
    <row r="6826" spans="1:2" x14ac:dyDescent="0.3">
      <c r="A6826" s="2">
        <v>45942.333333333343</v>
      </c>
      <c r="B6826">
        <f>3010.00079394034*(3/4)</f>
        <v>2257.5005954552557</v>
      </c>
    </row>
    <row r="6827" spans="1:2" x14ac:dyDescent="0.3">
      <c r="A6827" s="2">
        <v>45942.375</v>
      </c>
      <c r="B6827">
        <f>2977.26590826663*(3/4)</f>
        <v>2232.9494311999701</v>
      </c>
    </row>
    <row r="6828" spans="1:2" x14ac:dyDescent="0.3">
      <c r="A6828" s="2">
        <v>45942.416666666657</v>
      </c>
      <c r="B6828">
        <f>3132.76928269997*(3/4)</f>
        <v>2349.5769620249807</v>
      </c>
    </row>
    <row r="6829" spans="1:2" x14ac:dyDescent="0.3">
      <c r="A6829" s="2">
        <v>45942.458333333343</v>
      </c>
      <c r="B6829">
        <f>3175.78527150729*(3/4)</f>
        <v>2381.8389536304699</v>
      </c>
    </row>
    <row r="6830" spans="1:2" x14ac:dyDescent="0.3">
      <c r="A6830" s="2">
        <v>45942.5</v>
      </c>
      <c r="B6830">
        <f>3107.5327474124*(3/4)</f>
        <v>2330.6495605592972</v>
      </c>
    </row>
    <row r="6831" spans="1:2" x14ac:dyDescent="0.3">
      <c r="A6831" s="2">
        <v>45942.541666666657</v>
      </c>
      <c r="B6831">
        <f>3367.75571110857*(3/4)</f>
        <v>2525.816783331426</v>
      </c>
    </row>
    <row r="6832" spans="1:2" x14ac:dyDescent="0.3">
      <c r="A6832" s="2">
        <v>45942.583333333343</v>
      </c>
      <c r="B6832">
        <f>2897.25549981612*(3/4)</f>
        <v>2172.9416248620869</v>
      </c>
    </row>
    <row r="6833" spans="1:2" x14ac:dyDescent="0.3">
      <c r="A6833" s="2">
        <v>45942.625</v>
      </c>
      <c r="B6833">
        <f>3065.60317846369*(3/4)</f>
        <v>2299.2023838477662</v>
      </c>
    </row>
    <row r="6834" spans="1:2" x14ac:dyDescent="0.3">
      <c r="A6834" s="2">
        <v>45942.666666666657</v>
      </c>
      <c r="B6834">
        <f>3032.2354878529*(3/4)</f>
        <v>2274.1766158896744</v>
      </c>
    </row>
    <row r="6835" spans="1:2" x14ac:dyDescent="0.3">
      <c r="A6835" s="2">
        <v>45942.708333333343</v>
      </c>
      <c r="B6835">
        <f>4068.14222657772*(3/4)</f>
        <v>3051.1066699332896</v>
      </c>
    </row>
    <row r="6836" spans="1:2" x14ac:dyDescent="0.3">
      <c r="A6836" s="2">
        <v>45942.75</v>
      </c>
      <c r="B6836">
        <f>4175.131117334*(3/4)</f>
        <v>3131.3483380005014</v>
      </c>
    </row>
    <row r="6837" spans="1:2" x14ac:dyDescent="0.3">
      <c r="A6837" s="2">
        <v>45942.791666666657</v>
      </c>
      <c r="B6837">
        <f>4151.60822954796*(3/4)</f>
        <v>3113.7061721609671</v>
      </c>
    </row>
    <row r="6838" spans="1:2" x14ac:dyDescent="0.3">
      <c r="A6838" s="2">
        <v>45942.833333333343</v>
      </c>
      <c r="B6838">
        <f>4218.02275976965*(3/4)</f>
        <v>3163.5170698272404</v>
      </c>
    </row>
    <row r="6839" spans="1:2" x14ac:dyDescent="0.3">
      <c r="A6839" s="2">
        <v>45942.875</v>
      </c>
      <c r="B6839">
        <f>4179.67409549892*(3/4)</f>
        <v>3134.7555716241868</v>
      </c>
    </row>
    <row r="6840" spans="1:2" x14ac:dyDescent="0.3">
      <c r="A6840" s="2">
        <v>45942.916666666657</v>
      </c>
      <c r="B6840">
        <f>3798.90983198136*(3/4)</f>
        <v>2849.1823739860179</v>
      </c>
    </row>
    <row r="6841" spans="1:2" x14ac:dyDescent="0.3">
      <c r="A6841" s="2">
        <v>45942.958333333343</v>
      </c>
      <c r="B6841">
        <f>4024.48862393394*(3/4)</f>
        <v>3018.3664679504582</v>
      </c>
    </row>
    <row r="6842" spans="1:2" x14ac:dyDescent="0.3">
      <c r="A6842" s="2">
        <v>45943</v>
      </c>
      <c r="B6842">
        <f>3920.39717969778*(3/4)</f>
        <v>2940.297884773338</v>
      </c>
    </row>
    <row r="6843" spans="1:2" x14ac:dyDescent="0.3">
      <c r="A6843" s="2">
        <v>45943.041666666657</v>
      </c>
      <c r="B6843">
        <f>4189.51886421468*(3/4)</f>
        <v>3142.1391481610117</v>
      </c>
    </row>
    <row r="6844" spans="1:2" x14ac:dyDescent="0.3">
      <c r="A6844" s="2">
        <v>45943.083333333343</v>
      </c>
      <c r="B6844">
        <f>3812.91047707527*(3/4)</f>
        <v>2859.6828578064533</v>
      </c>
    </row>
    <row r="6845" spans="1:2" x14ac:dyDescent="0.3">
      <c r="A6845" s="2">
        <v>45943.125</v>
      </c>
      <c r="B6845">
        <f>3989.60152993965*(3/4)</f>
        <v>2992.2011474547367</v>
      </c>
    </row>
    <row r="6846" spans="1:2" x14ac:dyDescent="0.3">
      <c r="A6846" s="2">
        <v>45943.166666666657</v>
      </c>
      <c r="B6846">
        <f>3974.05827395436*(3/4)</f>
        <v>2980.5437054657664</v>
      </c>
    </row>
    <row r="6847" spans="1:2" x14ac:dyDescent="0.3">
      <c r="A6847" s="2">
        <v>45943.208333333343</v>
      </c>
      <c r="B6847">
        <f>3792.62674326625*(3/4)</f>
        <v>2844.4700574496883</v>
      </c>
    </row>
    <row r="6848" spans="1:2" x14ac:dyDescent="0.3">
      <c r="A6848" s="2">
        <v>45943.25</v>
      </c>
      <c r="B6848">
        <f>3842.11299774487*(3/4)</f>
        <v>2881.5847483086532</v>
      </c>
    </row>
    <row r="6849" spans="1:2" x14ac:dyDescent="0.3">
      <c r="A6849" s="2">
        <v>45943.291666666657</v>
      </c>
      <c r="B6849">
        <f>3853.66441427446*(3/4)</f>
        <v>2890.2483107058451</v>
      </c>
    </row>
    <row r="6850" spans="1:2" x14ac:dyDescent="0.3">
      <c r="A6850" s="2">
        <v>45943.333333333343</v>
      </c>
      <c r="B6850">
        <f>4076.07665367043*(3/4)</f>
        <v>3057.0574902528224</v>
      </c>
    </row>
    <row r="6851" spans="1:2" x14ac:dyDescent="0.3">
      <c r="A6851" s="2">
        <v>45943.375</v>
      </c>
      <c r="B6851">
        <f>4068.13387084006*(3/4)</f>
        <v>3051.1004031300427</v>
      </c>
    </row>
    <row r="6852" spans="1:2" x14ac:dyDescent="0.3">
      <c r="A6852" s="2">
        <v>45943.416666666657</v>
      </c>
      <c r="B6852">
        <f>3819.28846353297*(3/4)</f>
        <v>2864.4663476497299</v>
      </c>
    </row>
    <row r="6853" spans="1:2" x14ac:dyDescent="0.3">
      <c r="A6853" s="2">
        <v>45943.458333333343</v>
      </c>
      <c r="B6853">
        <f>3966.31589073065*(3/4)</f>
        <v>2974.7369180479882</v>
      </c>
    </row>
    <row r="6854" spans="1:2" x14ac:dyDescent="0.3">
      <c r="A6854" s="2">
        <v>45943.5</v>
      </c>
      <c r="B6854">
        <f>4060.53578428128*(3/4)</f>
        <v>3045.4018382109562</v>
      </c>
    </row>
    <row r="6855" spans="1:2" x14ac:dyDescent="0.3">
      <c r="A6855" s="2">
        <v>45943.541666666657</v>
      </c>
      <c r="B6855">
        <f>3894.57418926391*(3/4)</f>
        <v>2920.9306419479303</v>
      </c>
    </row>
    <row r="6856" spans="1:2" x14ac:dyDescent="0.3">
      <c r="A6856" s="2">
        <v>45943.583333333343</v>
      </c>
      <c r="B6856">
        <f>3974.51112542754*(3/4)</f>
        <v>2980.883344070658</v>
      </c>
    </row>
    <row r="6857" spans="1:2" x14ac:dyDescent="0.3">
      <c r="A6857" s="2">
        <v>45943.625</v>
      </c>
      <c r="B6857">
        <f>4022.72982973642*(3/4)</f>
        <v>3017.0473723023119</v>
      </c>
    </row>
    <row r="6858" spans="1:2" x14ac:dyDescent="0.3">
      <c r="A6858" s="2">
        <v>45943.666666666657</v>
      </c>
      <c r="B6858">
        <f>4152.13667261809*(3/4)</f>
        <v>3114.1025044635712</v>
      </c>
    </row>
    <row r="6859" spans="1:2" x14ac:dyDescent="0.3">
      <c r="A6859" s="2">
        <v>45943.708333333343</v>
      </c>
      <c r="B6859">
        <f>4185.04901013064*(3/4)</f>
        <v>3138.7867575979817</v>
      </c>
    </row>
    <row r="6860" spans="1:2" x14ac:dyDescent="0.3">
      <c r="A6860" s="2">
        <v>45943.75</v>
      </c>
      <c r="B6860">
        <f>3899.73021294287*(3/4)</f>
        <v>2924.7976597071561</v>
      </c>
    </row>
    <row r="6861" spans="1:2" x14ac:dyDescent="0.3">
      <c r="A6861" s="2">
        <v>45943.791666666657</v>
      </c>
      <c r="B6861">
        <f>4139.22821478131*(3/4)</f>
        <v>3104.4211610859834</v>
      </c>
    </row>
    <row r="6862" spans="1:2" x14ac:dyDescent="0.3">
      <c r="A6862" s="2">
        <v>45943.833333333343</v>
      </c>
      <c r="B6862">
        <f>4199.74517128354*(3/4)</f>
        <v>3149.8088784626584</v>
      </c>
    </row>
    <row r="6863" spans="1:2" x14ac:dyDescent="0.3">
      <c r="A6863" s="2">
        <v>45943.875</v>
      </c>
      <c r="B6863">
        <f>3869.51247561485*(3/4)</f>
        <v>2902.1343567111367</v>
      </c>
    </row>
    <row r="6864" spans="1:2" x14ac:dyDescent="0.3">
      <c r="A6864" s="2">
        <v>45943.916666666657</v>
      </c>
      <c r="B6864">
        <f>3651.92886217884*(3/4)</f>
        <v>2738.9466466341319</v>
      </c>
    </row>
    <row r="6865" spans="1:2" x14ac:dyDescent="0.3">
      <c r="A6865" s="2">
        <v>45943.958333333343</v>
      </c>
      <c r="B6865">
        <f>3970.9766596363*(3/4)</f>
        <v>2978.2324947272214</v>
      </c>
    </row>
    <row r="6866" spans="1:2" x14ac:dyDescent="0.3">
      <c r="A6866" s="2">
        <v>45944</v>
      </c>
      <c r="B6866">
        <f>3705.19995295344*(3/4)</f>
        <v>2778.8999647150795</v>
      </c>
    </row>
    <row r="6867" spans="1:2" x14ac:dyDescent="0.3">
      <c r="A6867" s="2">
        <v>45944.041666666657</v>
      </c>
      <c r="B6867">
        <f>4051.30452109835*(3/4)</f>
        <v>3038.4783908237623</v>
      </c>
    </row>
    <row r="6868" spans="1:2" x14ac:dyDescent="0.3">
      <c r="A6868" s="2">
        <v>45944.083333333343</v>
      </c>
      <c r="B6868">
        <f>3876.61503130713*(3/4)</f>
        <v>2907.4612734803459</v>
      </c>
    </row>
    <row r="6869" spans="1:2" x14ac:dyDescent="0.3">
      <c r="A6869" s="2">
        <v>45944.125</v>
      </c>
      <c r="B6869">
        <f>3830.52914885702*(3/4)</f>
        <v>2872.8968616427655</v>
      </c>
    </row>
    <row r="6870" spans="1:2" x14ac:dyDescent="0.3">
      <c r="A6870" s="2">
        <v>45944.166666666657</v>
      </c>
      <c r="B6870">
        <f>3918.95087164001*(3/4)</f>
        <v>2939.2131537300083</v>
      </c>
    </row>
    <row r="6871" spans="1:2" x14ac:dyDescent="0.3">
      <c r="A6871" s="2">
        <v>45944.208333333343</v>
      </c>
      <c r="B6871">
        <f>3986.93907220478*(3/4)</f>
        <v>2990.2043041535862</v>
      </c>
    </row>
    <row r="6872" spans="1:2" x14ac:dyDescent="0.3">
      <c r="A6872" s="2">
        <v>45944.25</v>
      </c>
      <c r="B6872">
        <f>3996.37755389536*(3/4)</f>
        <v>2997.2831654215233</v>
      </c>
    </row>
    <row r="6873" spans="1:2" x14ac:dyDescent="0.3">
      <c r="A6873" s="2">
        <v>45944.291666666657</v>
      </c>
      <c r="B6873">
        <f>3892.91988761923*(3/4)</f>
        <v>2919.6899157144244</v>
      </c>
    </row>
    <row r="6874" spans="1:2" x14ac:dyDescent="0.3">
      <c r="A6874" s="2">
        <v>45944.333333333343</v>
      </c>
      <c r="B6874">
        <f>4236.47185413182*(3/4)</f>
        <v>3177.3538905988662</v>
      </c>
    </row>
    <row r="6875" spans="1:2" x14ac:dyDescent="0.3">
      <c r="A6875" s="2">
        <v>45944.375</v>
      </c>
      <c r="B6875">
        <f>4237.53728457515*(3/4)</f>
        <v>3178.1529634313597</v>
      </c>
    </row>
    <row r="6876" spans="1:2" x14ac:dyDescent="0.3">
      <c r="A6876" s="2">
        <v>45944.416666666657</v>
      </c>
      <c r="B6876">
        <f>4018.61238965834*(3/4)</f>
        <v>3013.9592922437541</v>
      </c>
    </row>
    <row r="6877" spans="1:2" x14ac:dyDescent="0.3">
      <c r="A6877" s="2">
        <v>45944.458333333343</v>
      </c>
      <c r="B6877">
        <f>4218.5169471175*(3/4)</f>
        <v>3163.8877103381265</v>
      </c>
    </row>
    <row r="6878" spans="1:2" x14ac:dyDescent="0.3">
      <c r="A6878" s="2">
        <v>45944.5</v>
      </c>
      <c r="B6878">
        <f>4328.64156749609*(3/4)</f>
        <v>3246.4811756220702</v>
      </c>
    </row>
    <row r="6879" spans="1:2" x14ac:dyDescent="0.3">
      <c r="A6879" s="2">
        <v>45944.541666666657</v>
      </c>
      <c r="B6879">
        <f>4042.61497874491*(3/4)</f>
        <v>3031.9612340586791</v>
      </c>
    </row>
    <row r="6880" spans="1:2" x14ac:dyDescent="0.3">
      <c r="A6880" s="2">
        <v>45944.583333333343</v>
      </c>
      <c r="B6880">
        <f>3786.7763443489*(3/4)</f>
        <v>2840.0822582616743</v>
      </c>
    </row>
    <row r="6881" spans="1:2" x14ac:dyDescent="0.3">
      <c r="A6881" s="2">
        <v>45944.625</v>
      </c>
      <c r="B6881">
        <f>4098.80800391082*(3/4)</f>
        <v>3074.1060029331115</v>
      </c>
    </row>
    <row r="6882" spans="1:2" x14ac:dyDescent="0.3">
      <c r="A6882" s="2">
        <v>45944.666666666657</v>
      </c>
      <c r="B6882">
        <f>3900.7781504958*(3/4)</f>
        <v>2925.5836128718479</v>
      </c>
    </row>
    <row r="6883" spans="1:2" x14ac:dyDescent="0.3">
      <c r="A6883" s="2">
        <v>45944.708333333343</v>
      </c>
      <c r="B6883">
        <f>3944.63370522413*(3/4)</f>
        <v>2958.4752789180948</v>
      </c>
    </row>
    <row r="6884" spans="1:2" x14ac:dyDescent="0.3">
      <c r="A6884" s="2">
        <v>45944.75</v>
      </c>
      <c r="B6884">
        <f>3915.64661430375*(3/4)</f>
        <v>2936.7349607278134</v>
      </c>
    </row>
    <row r="6885" spans="1:2" x14ac:dyDescent="0.3">
      <c r="A6885" s="2">
        <v>45944.791666666657</v>
      </c>
      <c r="B6885">
        <f>4302.77679381498*(3/4)</f>
        <v>3227.0825953612384</v>
      </c>
    </row>
    <row r="6886" spans="1:2" x14ac:dyDescent="0.3">
      <c r="A6886" s="2">
        <v>45944.833333333343</v>
      </c>
      <c r="B6886">
        <f>4123.92207973154*(3/4)</f>
        <v>3092.9415597986535</v>
      </c>
    </row>
    <row r="6887" spans="1:2" x14ac:dyDescent="0.3">
      <c r="A6887" s="2">
        <v>45944.875</v>
      </c>
      <c r="B6887">
        <f>4316.35879361171*(3/4)</f>
        <v>3237.2690952087851</v>
      </c>
    </row>
    <row r="6888" spans="1:2" x14ac:dyDescent="0.3">
      <c r="A6888" s="2">
        <v>45944.916666666657</v>
      </c>
      <c r="B6888">
        <f>3596.93635353185*(3/4)</f>
        <v>2697.7022651488883</v>
      </c>
    </row>
    <row r="6889" spans="1:2" x14ac:dyDescent="0.3">
      <c r="A6889" s="2">
        <v>45944.958333333343</v>
      </c>
      <c r="B6889">
        <f>4058.89367694521*(3/4)</f>
        <v>3044.1702577089068</v>
      </c>
    </row>
    <row r="6890" spans="1:2" x14ac:dyDescent="0.3">
      <c r="A6890" s="2">
        <v>45945</v>
      </c>
      <c r="B6890">
        <f>3806.61263144915*(3/4)</f>
        <v>2854.959473586865</v>
      </c>
    </row>
    <row r="6891" spans="1:2" x14ac:dyDescent="0.3">
      <c r="A6891" s="2">
        <v>45945.041666666657</v>
      </c>
      <c r="B6891">
        <f>3766.56672211905*(3/4)</f>
        <v>2824.9250415892889</v>
      </c>
    </row>
    <row r="6892" spans="1:2" x14ac:dyDescent="0.3">
      <c r="A6892" s="2">
        <v>45945.083333333343</v>
      </c>
      <c r="B6892">
        <f>3784.19704460003*(3/4)</f>
        <v>2838.147783450022</v>
      </c>
    </row>
    <row r="6893" spans="1:2" x14ac:dyDescent="0.3">
      <c r="A6893" s="2">
        <v>45945.125</v>
      </c>
      <c r="B6893">
        <f>3937.52372063701*(3/4)</f>
        <v>2953.1427904777538</v>
      </c>
    </row>
    <row r="6894" spans="1:2" x14ac:dyDescent="0.3">
      <c r="A6894" s="2">
        <v>45945.166666666657</v>
      </c>
      <c r="B6894">
        <f>4345.31984711907*(3/4)</f>
        <v>3258.9898853392988</v>
      </c>
    </row>
    <row r="6895" spans="1:2" x14ac:dyDescent="0.3">
      <c r="A6895" s="2">
        <v>45945.208333333343</v>
      </c>
      <c r="B6895">
        <f>4002.24698787425*(3/4)</f>
        <v>3001.6852409056855</v>
      </c>
    </row>
    <row r="6896" spans="1:2" x14ac:dyDescent="0.3">
      <c r="A6896" s="2">
        <v>45945.25</v>
      </c>
      <c r="B6896">
        <f>3892.81295717441*(3/4)</f>
        <v>2919.6097178808104</v>
      </c>
    </row>
    <row r="6897" spans="1:2" x14ac:dyDescent="0.3">
      <c r="A6897" s="2">
        <v>45945.291666666657</v>
      </c>
      <c r="B6897">
        <f>4142.28695110904*(3/4)</f>
        <v>3106.7152133317782</v>
      </c>
    </row>
    <row r="6898" spans="1:2" x14ac:dyDescent="0.3">
      <c r="A6898" s="2">
        <v>45945.333333333343</v>
      </c>
      <c r="B6898">
        <f>3856.42726683281*(3/4)</f>
        <v>2892.32045012461</v>
      </c>
    </row>
    <row r="6899" spans="1:2" x14ac:dyDescent="0.3">
      <c r="A6899" s="2">
        <v>45945.375</v>
      </c>
      <c r="B6899">
        <f>4195.18426563522*(3/4)</f>
        <v>3146.3881992264178</v>
      </c>
    </row>
    <row r="6900" spans="1:2" x14ac:dyDescent="0.3">
      <c r="A6900" s="2">
        <v>45945.416666666657</v>
      </c>
      <c r="B6900">
        <f>4097.90209094686*(3/4)</f>
        <v>3073.4265682101459</v>
      </c>
    </row>
    <row r="6901" spans="1:2" x14ac:dyDescent="0.3">
      <c r="A6901" s="2">
        <v>45945.458333333343</v>
      </c>
      <c r="B6901">
        <f>4275.83308481386*(3/4)</f>
        <v>3206.8748136103973</v>
      </c>
    </row>
    <row r="6902" spans="1:2" x14ac:dyDescent="0.3">
      <c r="A6902" s="2">
        <v>45945.5</v>
      </c>
      <c r="B6902">
        <f>3978.12114703168*(3/4)</f>
        <v>2983.5908602737572</v>
      </c>
    </row>
    <row r="6903" spans="1:2" x14ac:dyDescent="0.3">
      <c r="A6903" s="2">
        <v>45945.541666666657</v>
      </c>
      <c r="B6903">
        <f>4051.36135479315*(3/4)</f>
        <v>3038.521016094865</v>
      </c>
    </row>
    <row r="6904" spans="1:2" x14ac:dyDescent="0.3">
      <c r="A6904" s="2">
        <v>45945.583333333343</v>
      </c>
      <c r="B6904">
        <f>3631.92722872336*(3/4)</f>
        <v>2723.9454215425208</v>
      </c>
    </row>
    <row r="6905" spans="1:2" x14ac:dyDescent="0.3">
      <c r="A6905" s="2">
        <v>45945.625</v>
      </c>
      <c r="B6905">
        <f>3780.74728031978*(3/4)</f>
        <v>2835.5604602398357</v>
      </c>
    </row>
    <row r="6906" spans="1:2" x14ac:dyDescent="0.3">
      <c r="A6906" s="2">
        <v>45945.666666666657</v>
      </c>
      <c r="B6906">
        <f>4060.4517501808*(3/4)</f>
        <v>3045.3388126355967</v>
      </c>
    </row>
    <row r="6907" spans="1:2" x14ac:dyDescent="0.3">
      <c r="A6907" s="2">
        <v>45945.708333333343</v>
      </c>
      <c r="B6907">
        <f>4128.69080925183*(3/4)</f>
        <v>3096.5181069388696</v>
      </c>
    </row>
    <row r="6908" spans="1:2" x14ac:dyDescent="0.3">
      <c r="A6908" s="2">
        <v>45945.75</v>
      </c>
      <c r="B6908">
        <f>3838.97361047526*(3/4)</f>
        <v>2879.2302078564458</v>
      </c>
    </row>
    <row r="6909" spans="1:2" x14ac:dyDescent="0.3">
      <c r="A6909" s="2">
        <v>45945.791666666657</v>
      </c>
      <c r="B6909">
        <f>4172.20443730992*(3/4)</f>
        <v>3129.1533279824407</v>
      </c>
    </row>
    <row r="6910" spans="1:2" x14ac:dyDescent="0.3">
      <c r="A6910" s="2">
        <v>45945.833333333343</v>
      </c>
      <c r="B6910">
        <f>4180.87956471943*(3/4)</f>
        <v>3135.6596735395715</v>
      </c>
    </row>
    <row r="6911" spans="1:2" x14ac:dyDescent="0.3">
      <c r="A6911" s="2">
        <v>45945.875</v>
      </c>
      <c r="B6911">
        <f>4090.48680713719*(3/4)</f>
        <v>3067.8651053528888</v>
      </c>
    </row>
    <row r="6912" spans="1:2" x14ac:dyDescent="0.3">
      <c r="A6912" s="2">
        <v>45945.916666666657</v>
      </c>
      <c r="B6912">
        <f>3691.68292710127*(3/4)</f>
        <v>2768.7621953259554</v>
      </c>
    </row>
    <row r="6913" spans="1:2" x14ac:dyDescent="0.3">
      <c r="A6913" s="2">
        <v>45945.958333333343</v>
      </c>
      <c r="B6913">
        <f>3763.04066468328*(3/4)</f>
        <v>2822.2804985124576</v>
      </c>
    </row>
    <row r="6914" spans="1:2" x14ac:dyDescent="0.3">
      <c r="A6914" s="2">
        <v>45946</v>
      </c>
      <c r="B6914">
        <f>4085.22923124762*(3/4)</f>
        <v>3063.9219234357161</v>
      </c>
    </row>
    <row r="6915" spans="1:2" x14ac:dyDescent="0.3">
      <c r="A6915" s="2">
        <v>45946.041666666657</v>
      </c>
      <c r="B6915">
        <f>4034.25539755979*(3/4)</f>
        <v>3025.6915481698416</v>
      </c>
    </row>
    <row r="6916" spans="1:2" x14ac:dyDescent="0.3">
      <c r="A6916" s="2">
        <v>45946.083333333343</v>
      </c>
      <c r="B6916">
        <f>3982.36816310709*(3/4)</f>
        <v>2986.7761223303155</v>
      </c>
    </row>
    <row r="6917" spans="1:2" x14ac:dyDescent="0.3">
      <c r="A6917" s="2">
        <v>45946.125</v>
      </c>
      <c r="B6917">
        <f>4100.93496889156*(3/4)</f>
        <v>3075.7012266686725</v>
      </c>
    </row>
    <row r="6918" spans="1:2" x14ac:dyDescent="0.3">
      <c r="A6918" s="2">
        <v>45946.166666666657</v>
      </c>
      <c r="B6918">
        <f>4055.31860658657*(3/4)</f>
        <v>3041.4889549399254</v>
      </c>
    </row>
    <row r="6919" spans="1:2" x14ac:dyDescent="0.3">
      <c r="A6919" s="2">
        <v>45946.208333333343</v>
      </c>
      <c r="B6919">
        <f>3977.87400056*(3/4)</f>
        <v>2983.405500419999</v>
      </c>
    </row>
    <row r="6920" spans="1:2" x14ac:dyDescent="0.3">
      <c r="A6920" s="2">
        <v>45946.25</v>
      </c>
      <c r="B6920">
        <f>3732.15361586221*(3/4)</f>
        <v>2799.1152118966593</v>
      </c>
    </row>
    <row r="6921" spans="1:2" x14ac:dyDescent="0.3">
      <c r="A6921" s="2">
        <v>45946.291666666657</v>
      </c>
      <c r="B6921">
        <f>4137.76347768097*(3/4)</f>
        <v>3103.3226082607289</v>
      </c>
    </row>
    <row r="6922" spans="1:2" x14ac:dyDescent="0.3">
      <c r="A6922" s="2">
        <v>45946.333333333343</v>
      </c>
      <c r="B6922">
        <f>4355.87818882105*(3/4)</f>
        <v>3266.9086416157893</v>
      </c>
    </row>
    <row r="6923" spans="1:2" x14ac:dyDescent="0.3">
      <c r="A6923" s="2">
        <v>45946.375</v>
      </c>
      <c r="B6923">
        <f>3826.4067556828*(3/4)</f>
        <v>2869.8050667621028</v>
      </c>
    </row>
    <row r="6924" spans="1:2" x14ac:dyDescent="0.3">
      <c r="A6924" s="2">
        <v>45946.416666666657</v>
      </c>
      <c r="B6924">
        <f>3994.19412115404*(3/4)</f>
        <v>2995.6455908655307</v>
      </c>
    </row>
    <row r="6925" spans="1:2" x14ac:dyDescent="0.3">
      <c r="A6925" s="2">
        <v>45946.458333333343</v>
      </c>
      <c r="B6925">
        <f>3949.32512111594*(3/4)</f>
        <v>2961.9938408369526</v>
      </c>
    </row>
    <row r="6926" spans="1:2" x14ac:dyDescent="0.3">
      <c r="A6926" s="2">
        <v>45946.5</v>
      </c>
      <c r="B6926">
        <f>4215.4977081169*(3/4)</f>
        <v>3161.6232810876736</v>
      </c>
    </row>
    <row r="6927" spans="1:2" x14ac:dyDescent="0.3">
      <c r="A6927" s="2">
        <v>45946.541666666657</v>
      </c>
      <c r="B6927">
        <f>3490.22204482959*(3/4)</f>
        <v>2617.6665336221909</v>
      </c>
    </row>
    <row r="6928" spans="1:2" x14ac:dyDescent="0.3">
      <c r="A6928" s="2">
        <v>45946.583333333343</v>
      </c>
      <c r="B6928">
        <f>3729.70295550056*(3/4)</f>
        <v>2797.2772166254176</v>
      </c>
    </row>
    <row r="6929" spans="1:2" x14ac:dyDescent="0.3">
      <c r="A6929" s="2">
        <v>45946.625</v>
      </c>
      <c r="B6929">
        <f>4036.97837630346*(3/4)</f>
        <v>3027.7337822275936</v>
      </c>
    </row>
    <row r="6930" spans="1:2" x14ac:dyDescent="0.3">
      <c r="A6930" s="2">
        <v>45946.666666666657</v>
      </c>
      <c r="B6930">
        <f>4123.27611446671*(3/4)</f>
        <v>3092.457085850036</v>
      </c>
    </row>
    <row r="6931" spans="1:2" x14ac:dyDescent="0.3">
      <c r="A6931" s="2">
        <v>45946.708333333343</v>
      </c>
      <c r="B6931">
        <f>3909.57707142534*(3/4)</f>
        <v>2932.1828035690055</v>
      </c>
    </row>
    <row r="6932" spans="1:2" x14ac:dyDescent="0.3">
      <c r="A6932" s="2">
        <v>45946.75</v>
      </c>
      <c r="B6932">
        <f>4090.51017494052*(3/4)</f>
        <v>3067.8826312053925</v>
      </c>
    </row>
    <row r="6933" spans="1:2" x14ac:dyDescent="0.3">
      <c r="A6933" s="2">
        <v>45946.791666666657</v>
      </c>
      <c r="B6933">
        <f>3936.79564610334*(3/4)</f>
        <v>2952.5967345775052</v>
      </c>
    </row>
    <row r="6934" spans="1:2" x14ac:dyDescent="0.3">
      <c r="A6934" s="2">
        <v>45946.833333333343</v>
      </c>
      <c r="B6934">
        <f>4267.91211359777*(3/4)</f>
        <v>3200.9340851983288</v>
      </c>
    </row>
    <row r="6935" spans="1:2" x14ac:dyDescent="0.3">
      <c r="A6935" s="2">
        <v>45946.875</v>
      </c>
      <c r="B6935">
        <f>3968.89841667486*(3/4)</f>
        <v>2976.6738125061429</v>
      </c>
    </row>
    <row r="6936" spans="1:2" x14ac:dyDescent="0.3">
      <c r="A6936" s="2">
        <v>45946.916666666657</v>
      </c>
      <c r="B6936">
        <f>3550.0914772201*(3/4)</f>
        <v>2662.5686079150764</v>
      </c>
    </row>
    <row r="6937" spans="1:2" x14ac:dyDescent="0.3">
      <c r="A6937" s="2">
        <v>45946.958333333343</v>
      </c>
      <c r="B6937">
        <f>3782.57034104849*(3/4)</f>
        <v>2836.9277557863647</v>
      </c>
    </row>
    <row r="6938" spans="1:2" x14ac:dyDescent="0.3">
      <c r="A6938" s="2">
        <v>45947</v>
      </c>
      <c r="B6938">
        <f>3874.37110933943*(3/4)</f>
        <v>2905.7783320045692</v>
      </c>
    </row>
    <row r="6939" spans="1:2" x14ac:dyDescent="0.3">
      <c r="A6939" s="2">
        <v>45947.041666666657</v>
      </c>
      <c r="B6939">
        <f>3820.83465207631*(3/4)</f>
        <v>2865.6259890572342</v>
      </c>
    </row>
    <row r="6940" spans="1:2" x14ac:dyDescent="0.3">
      <c r="A6940" s="2">
        <v>45947.083333333343</v>
      </c>
      <c r="B6940">
        <f>3772.56093785338*(3/4)</f>
        <v>2829.4207033900343</v>
      </c>
    </row>
    <row r="6941" spans="1:2" x14ac:dyDescent="0.3">
      <c r="A6941" s="2">
        <v>45947.125</v>
      </c>
      <c r="B6941">
        <f>4072.61643084536*(3/4)</f>
        <v>3054.4623231340183</v>
      </c>
    </row>
    <row r="6942" spans="1:2" x14ac:dyDescent="0.3">
      <c r="A6942" s="2">
        <v>45947.166666666657</v>
      </c>
      <c r="B6942">
        <f>3767.50202767584*(3/4)</f>
        <v>2825.6265207568777</v>
      </c>
    </row>
    <row r="6943" spans="1:2" x14ac:dyDescent="0.3">
      <c r="A6943" s="2">
        <v>45947.208333333343</v>
      </c>
      <c r="B6943">
        <f>3915.12022170965*(3/4)</f>
        <v>2936.3401662822389</v>
      </c>
    </row>
    <row r="6944" spans="1:2" x14ac:dyDescent="0.3">
      <c r="A6944" s="2">
        <v>45947.25</v>
      </c>
      <c r="B6944">
        <f>3643.07731839776*(3/4)</f>
        <v>2732.3079887983231</v>
      </c>
    </row>
    <row r="6945" spans="1:2" x14ac:dyDescent="0.3">
      <c r="A6945" s="2">
        <v>45947.291666666657</v>
      </c>
      <c r="B6945">
        <f>4020.61791238216*(3/4)</f>
        <v>3015.463434286622</v>
      </c>
    </row>
    <row r="6946" spans="1:2" x14ac:dyDescent="0.3">
      <c r="A6946" s="2">
        <v>45947.333333333343</v>
      </c>
      <c r="B6946">
        <f>4446.01283401508*(3/4)</f>
        <v>3334.5096255113131</v>
      </c>
    </row>
    <row r="6947" spans="1:2" x14ac:dyDescent="0.3">
      <c r="A6947" s="2">
        <v>45947.375</v>
      </c>
      <c r="B6947">
        <f>3857.08627012556*(3/4)</f>
        <v>2892.814702594173</v>
      </c>
    </row>
    <row r="6948" spans="1:2" x14ac:dyDescent="0.3">
      <c r="A6948" s="2">
        <v>45947.416666666657</v>
      </c>
      <c r="B6948">
        <f>4125.7020196397*(3/4)</f>
        <v>3094.276514729776</v>
      </c>
    </row>
    <row r="6949" spans="1:2" x14ac:dyDescent="0.3">
      <c r="A6949" s="2">
        <v>45947.458333333343</v>
      </c>
      <c r="B6949">
        <f>4079.62876603222*(3/4)</f>
        <v>3059.7215745241683</v>
      </c>
    </row>
    <row r="6950" spans="1:2" x14ac:dyDescent="0.3">
      <c r="A6950" s="2">
        <v>45947.5</v>
      </c>
      <c r="B6950">
        <f>4389.82622454993*(3/4)</f>
        <v>3292.369668412447</v>
      </c>
    </row>
    <row r="6951" spans="1:2" x14ac:dyDescent="0.3">
      <c r="A6951" s="2">
        <v>45947.541666666657</v>
      </c>
      <c r="B6951">
        <f>4005.58650656903*(3/4)</f>
        <v>3004.1898799267688</v>
      </c>
    </row>
    <row r="6952" spans="1:2" x14ac:dyDescent="0.3">
      <c r="A6952" s="2">
        <v>45947.583333333343</v>
      </c>
      <c r="B6952">
        <f>3699.7486666207*(3/4)</f>
        <v>2774.8114999655245</v>
      </c>
    </row>
    <row r="6953" spans="1:2" x14ac:dyDescent="0.3">
      <c r="A6953" s="2">
        <v>45947.625</v>
      </c>
      <c r="B6953">
        <f>4162.42337540812*(3/4)</f>
        <v>3121.8175315560898</v>
      </c>
    </row>
    <row r="6954" spans="1:2" x14ac:dyDescent="0.3">
      <c r="A6954" s="2">
        <v>45947.666666666657</v>
      </c>
      <c r="B6954">
        <f>3932.78905991885*(3/4)</f>
        <v>2949.5917949391396</v>
      </c>
    </row>
    <row r="6955" spans="1:2" x14ac:dyDescent="0.3">
      <c r="A6955" s="2">
        <v>45947.708333333343</v>
      </c>
      <c r="B6955">
        <f>4059.88392021009*(3/4)</f>
        <v>3044.9129401575706</v>
      </c>
    </row>
    <row r="6956" spans="1:2" x14ac:dyDescent="0.3">
      <c r="A6956" s="2">
        <v>45947.75</v>
      </c>
      <c r="B6956">
        <f>4001.91745292741*(3/4)</f>
        <v>3001.4380896955568</v>
      </c>
    </row>
    <row r="6957" spans="1:2" x14ac:dyDescent="0.3">
      <c r="A6957" s="2">
        <v>45947.791666666657</v>
      </c>
      <c r="B6957">
        <f>3744.74204448145*(3/4)</f>
        <v>2808.5565333610839</v>
      </c>
    </row>
    <row r="6958" spans="1:2" x14ac:dyDescent="0.3">
      <c r="A6958" s="2">
        <v>45947.833333333343</v>
      </c>
      <c r="B6958">
        <f>4346.95098747177*(3/4)</f>
        <v>3260.2132406038286</v>
      </c>
    </row>
    <row r="6959" spans="1:2" x14ac:dyDescent="0.3">
      <c r="A6959" s="2">
        <v>45947.875</v>
      </c>
      <c r="B6959">
        <f>4329.45568842561*(3/4)</f>
        <v>3247.0917663192076</v>
      </c>
    </row>
    <row r="6960" spans="1:2" x14ac:dyDescent="0.3">
      <c r="A6960" s="2">
        <v>45947.916666666657</v>
      </c>
      <c r="B6960">
        <f>3951.53063249373*(3/4)</f>
        <v>2963.6479743702944</v>
      </c>
    </row>
    <row r="6961" spans="1:2" x14ac:dyDescent="0.3">
      <c r="A6961" s="2">
        <v>45947.958333333343</v>
      </c>
      <c r="B6961">
        <f>3776.3860313482*(3/4)</f>
        <v>2832.2895235111464</v>
      </c>
    </row>
    <row r="6962" spans="1:2" x14ac:dyDescent="0.3">
      <c r="A6962" s="2">
        <v>45948</v>
      </c>
      <c r="B6962">
        <f>4033.79329194111*(3/4)</f>
        <v>3025.3449689558347</v>
      </c>
    </row>
    <row r="6963" spans="1:2" x14ac:dyDescent="0.3">
      <c r="A6963" s="2">
        <v>45948.041666666657</v>
      </c>
      <c r="B6963">
        <f>3684.90937147006*(3/4)</f>
        <v>2763.6820286025459</v>
      </c>
    </row>
    <row r="6964" spans="1:2" x14ac:dyDescent="0.3">
      <c r="A6964" s="2">
        <v>45948.083333333343</v>
      </c>
      <c r="B6964">
        <f>3733.308115382*(3/4)</f>
        <v>2799.9810865364998</v>
      </c>
    </row>
    <row r="6965" spans="1:2" x14ac:dyDescent="0.3">
      <c r="A6965" s="2">
        <v>45948.125</v>
      </c>
      <c r="B6965">
        <f>4122.89860193875*(3/4)</f>
        <v>3092.1739514540604</v>
      </c>
    </row>
    <row r="6966" spans="1:2" x14ac:dyDescent="0.3">
      <c r="A6966" s="2">
        <v>45948.166666666657</v>
      </c>
      <c r="B6966">
        <f>4311.35714026581*(3/4)</f>
        <v>3233.5178551993549</v>
      </c>
    </row>
    <row r="6967" spans="1:2" x14ac:dyDescent="0.3">
      <c r="A6967" s="2">
        <v>45948.208333333343</v>
      </c>
      <c r="B6967">
        <f>3901.92205885812*(3/4)</f>
        <v>2926.4415441435885</v>
      </c>
    </row>
    <row r="6968" spans="1:2" x14ac:dyDescent="0.3">
      <c r="A6968" s="2">
        <v>45948.25</v>
      </c>
      <c r="B6968">
        <f>3977.46113806175*(3/4)</f>
        <v>2983.095853546311</v>
      </c>
    </row>
    <row r="6969" spans="1:2" x14ac:dyDescent="0.3">
      <c r="A6969" s="2">
        <v>45948.291666666657</v>
      </c>
      <c r="B6969">
        <f>3821.50100340216*(3/4)</f>
        <v>2866.1257525516171</v>
      </c>
    </row>
    <row r="6970" spans="1:2" x14ac:dyDescent="0.3">
      <c r="A6970" s="2">
        <v>45948.333333333343</v>
      </c>
      <c r="B6970">
        <f>4032.22729539007*(3/4)</f>
        <v>3024.1704715425508</v>
      </c>
    </row>
    <row r="6971" spans="1:2" x14ac:dyDescent="0.3">
      <c r="A6971" s="2">
        <v>45948.375</v>
      </c>
      <c r="B6971">
        <f>4188.41594510977*(3/4)</f>
        <v>3141.3119588323289</v>
      </c>
    </row>
    <row r="6972" spans="1:2" x14ac:dyDescent="0.3">
      <c r="A6972" s="2">
        <v>45948.416666666657</v>
      </c>
      <c r="B6972">
        <f>3996.13045960253*(3/4)</f>
        <v>2997.0978447018947</v>
      </c>
    </row>
    <row r="6973" spans="1:2" x14ac:dyDescent="0.3">
      <c r="A6973" s="2">
        <v>45948.458333333343</v>
      </c>
      <c r="B6973">
        <f>4232.18548653966*(3/4)</f>
        <v>3174.1391149047436</v>
      </c>
    </row>
    <row r="6974" spans="1:2" x14ac:dyDescent="0.3">
      <c r="A6974" s="2">
        <v>45948.5</v>
      </c>
      <c r="B6974">
        <f>4056.38386535252*(3/4)</f>
        <v>3042.28789901439</v>
      </c>
    </row>
    <row r="6975" spans="1:2" x14ac:dyDescent="0.3">
      <c r="A6975" s="2">
        <v>45948.541666666657</v>
      </c>
      <c r="B6975">
        <f>3775.47120264894*(3/4)</f>
        <v>2831.6034019867056</v>
      </c>
    </row>
    <row r="6976" spans="1:2" x14ac:dyDescent="0.3">
      <c r="A6976" s="2">
        <v>45948.583333333343</v>
      </c>
      <c r="B6976">
        <f>3808.21657992414*(3/4)</f>
        <v>2856.1624349431077</v>
      </c>
    </row>
    <row r="6977" spans="1:2" x14ac:dyDescent="0.3">
      <c r="A6977" s="2">
        <v>45948.625</v>
      </c>
      <c r="B6977">
        <f>4121.22398636543*(3/4)</f>
        <v>3090.9179897740732</v>
      </c>
    </row>
    <row r="6978" spans="1:2" x14ac:dyDescent="0.3">
      <c r="A6978" s="2">
        <v>45948.666666666657</v>
      </c>
      <c r="B6978">
        <f>4454.15062476757*(3/4)</f>
        <v>3340.6129685756741</v>
      </c>
    </row>
    <row r="6979" spans="1:2" x14ac:dyDescent="0.3">
      <c r="A6979" s="2">
        <v>45948.708333333343</v>
      </c>
      <c r="B6979">
        <f>4321.16443437431*(3/4)</f>
        <v>3240.8733257807312</v>
      </c>
    </row>
    <row r="6980" spans="1:2" x14ac:dyDescent="0.3">
      <c r="A6980" s="2">
        <v>45948.75</v>
      </c>
      <c r="B6980">
        <f>4143.88623437749*(3/4)</f>
        <v>3107.9146757831186</v>
      </c>
    </row>
    <row r="6981" spans="1:2" x14ac:dyDescent="0.3">
      <c r="A6981" s="2">
        <v>45948.791666666657</v>
      </c>
      <c r="B6981">
        <f>4150.05535833791*(3/4)</f>
        <v>3112.5415187534295</v>
      </c>
    </row>
    <row r="6982" spans="1:2" x14ac:dyDescent="0.3">
      <c r="A6982" s="2">
        <v>45948.833333333343</v>
      </c>
      <c r="B6982">
        <f>3765.75320733569*(3/4)</f>
        <v>2824.3149055017648</v>
      </c>
    </row>
    <row r="6983" spans="1:2" x14ac:dyDescent="0.3">
      <c r="A6983" s="2">
        <v>45948.875</v>
      </c>
      <c r="B6983">
        <f>4076.07906873468*(3/4)</f>
        <v>3057.059301551013</v>
      </c>
    </row>
    <row r="6984" spans="1:2" x14ac:dyDescent="0.3">
      <c r="A6984" s="2">
        <v>45948.916666666657</v>
      </c>
      <c r="B6984">
        <f>3617.49157675825*(3/4)</f>
        <v>2713.1186825686855</v>
      </c>
    </row>
    <row r="6985" spans="1:2" x14ac:dyDescent="0.3">
      <c r="A6985" s="2">
        <v>45948.958333333343</v>
      </c>
      <c r="B6985">
        <f>3847.65338824865*(3/4)</f>
        <v>2885.7400411864883</v>
      </c>
    </row>
    <row r="6986" spans="1:2" x14ac:dyDescent="0.3">
      <c r="A6986" s="2">
        <v>45949</v>
      </c>
      <c r="B6986">
        <f>3698.42622934187*(3/4)</f>
        <v>2773.819672006402</v>
      </c>
    </row>
    <row r="6987" spans="1:2" x14ac:dyDescent="0.3">
      <c r="A6987" s="2">
        <v>45949.041666666657</v>
      </c>
      <c r="B6987">
        <f>4055.74870874132*(3/4)</f>
        <v>3041.8115315559899</v>
      </c>
    </row>
    <row r="6988" spans="1:2" x14ac:dyDescent="0.3">
      <c r="A6988" s="2">
        <v>45949.083333333343</v>
      </c>
      <c r="B6988">
        <f>4004.03873672091*(3/4)</f>
        <v>3003.0290525406826</v>
      </c>
    </row>
    <row r="6989" spans="1:2" x14ac:dyDescent="0.3">
      <c r="A6989" s="2">
        <v>45949.125</v>
      </c>
      <c r="B6989">
        <f>3987.82651088753*(3/4)</f>
        <v>2990.8698831656461</v>
      </c>
    </row>
    <row r="6990" spans="1:2" x14ac:dyDescent="0.3">
      <c r="A6990" s="2">
        <v>45949.166666666657</v>
      </c>
      <c r="B6990">
        <f>3683.51307002672*(3/4)</f>
        <v>2762.6348025200405</v>
      </c>
    </row>
    <row r="6991" spans="1:2" x14ac:dyDescent="0.3">
      <c r="A6991" s="2">
        <v>45949.208333333343</v>
      </c>
      <c r="B6991">
        <f>4132.07872329383*(3/4)</f>
        <v>3099.059042470376</v>
      </c>
    </row>
    <row r="6992" spans="1:2" x14ac:dyDescent="0.3">
      <c r="A6992" s="2">
        <v>45949.25</v>
      </c>
      <c r="B6992">
        <f>3784.08083588777*(3/4)</f>
        <v>2838.0606269158261</v>
      </c>
    </row>
    <row r="6993" spans="1:2" x14ac:dyDescent="0.3">
      <c r="A6993" s="2">
        <v>45949.291666666657</v>
      </c>
      <c r="B6993">
        <f>3802.32755082576*(3/4)</f>
        <v>2851.7456631193209</v>
      </c>
    </row>
    <row r="6994" spans="1:2" x14ac:dyDescent="0.3">
      <c r="A6994" s="2">
        <v>45949.333333333343</v>
      </c>
      <c r="B6994">
        <f>3556.42128690868*(3/4)</f>
        <v>2667.3159651815131</v>
      </c>
    </row>
    <row r="6995" spans="1:2" x14ac:dyDescent="0.3">
      <c r="A6995" s="2">
        <v>45949.375</v>
      </c>
      <c r="B6995">
        <f>3242.96304169453*(3/4)</f>
        <v>2432.2222812708951</v>
      </c>
    </row>
    <row r="6996" spans="1:2" x14ac:dyDescent="0.3">
      <c r="A6996" s="2">
        <v>45949.416666666657</v>
      </c>
      <c r="B6996">
        <f>3246.99523891282*(3/4)</f>
        <v>2435.2464291846122</v>
      </c>
    </row>
    <row r="6997" spans="1:2" x14ac:dyDescent="0.3">
      <c r="A6997" s="2">
        <v>45949.458333333343</v>
      </c>
      <c r="B6997">
        <f>3398.62681041255*(3/4)</f>
        <v>2548.9701078094149</v>
      </c>
    </row>
    <row r="6998" spans="1:2" x14ac:dyDescent="0.3">
      <c r="A6998" s="2">
        <v>45949.5</v>
      </c>
      <c r="B6998">
        <f>3416.73559965415*(3/4)</f>
        <v>2562.5516997406121</v>
      </c>
    </row>
    <row r="6999" spans="1:2" x14ac:dyDescent="0.3">
      <c r="A6999" s="2">
        <v>45949.541666666657</v>
      </c>
      <c r="B6999">
        <f>3194.29409643674*(3/4)</f>
        <v>2395.7205723275579</v>
      </c>
    </row>
    <row r="7000" spans="1:2" x14ac:dyDescent="0.3">
      <c r="A7000" s="2">
        <v>45949.583333333343</v>
      </c>
      <c r="B7000">
        <f>2681.5732496887*(3/4)</f>
        <v>2011.1799372665228</v>
      </c>
    </row>
    <row r="7001" spans="1:2" x14ac:dyDescent="0.3">
      <c r="A7001" s="2">
        <v>45949.625</v>
      </c>
      <c r="B7001">
        <f>3387.80324081045*(3/4)</f>
        <v>2540.8524306078361</v>
      </c>
    </row>
    <row r="7002" spans="1:2" x14ac:dyDescent="0.3">
      <c r="A7002" s="2">
        <v>45949.666666666657</v>
      </c>
      <c r="B7002">
        <f>3047.08187311019*(3/4)</f>
        <v>2285.3114048326443</v>
      </c>
    </row>
    <row r="7003" spans="1:2" x14ac:dyDescent="0.3">
      <c r="A7003" s="2">
        <v>45949.708333333343</v>
      </c>
      <c r="B7003">
        <f>3758.16546654257*(3/4)</f>
        <v>2818.6240999069282</v>
      </c>
    </row>
    <row r="7004" spans="1:2" x14ac:dyDescent="0.3">
      <c r="A7004" s="2">
        <v>45949.75</v>
      </c>
      <c r="B7004">
        <f>3975.74329032293*(3/4)</f>
        <v>2981.8074677421969</v>
      </c>
    </row>
    <row r="7005" spans="1:2" x14ac:dyDescent="0.3">
      <c r="A7005" s="2">
        <v>45949.791666666657</v>
      </c>
      <c r="B7005">
        <f>3887.32761908459*(3/4)</f>
        <v>2915.4957143134438</v>
      </c>
    </row>
    <row r="7006" spans="1:2" x14ac:dyDescent="0.3">
      <c r="A7006" s="2">
        <v>45949.833333333343</v>
      </c>
      <c r="B7006">
        <f>4090.07435775479*(3/4)</f>
        <v>3067.5557683160923</v>
      </c>
    </row>
    <row r="7007" spans="1:2" x14ac:dyDescent="0.3">
      <c r="A7007" s="2">
        <v>45949.875</v>
      </c>
      <c r="B7007">
        <f>4186.37097200903*(3/4)</f>
        <v>3139.7782290067744</v>
      </c>
    </row>
    <row r="7008" spans="1:2" x14ac:dyDescent="0.3">
      <c r="A7008" s="2">
        <v>45949.916666666657</v>
      </c>
      <c r="B7008">
        <f>3788.97082559061*(3/4)</f>
        <v>2841.728119192956</v>
      </c>
    </row>
    <row r="7009" spans="1:2" x14ac:dyDescent="0.3">
      <c r="A7009" s="2">
        <v>45949.958333333343</v>
      </c>
      <c r="B7009">
        <f>3876.48551075578*(3/4)</f>
        <v>2907.364133066832</v>
      </c>
    </row>
    <row r="7010" spans="1:2" x14ac:dyDescent="0.3">
      <c r="A7010" s="2">
        <v>45950</v>
      </c>
      <c r="B7010">
        <f>3960.12913644738*(3/4)</f>
        <v>2970.0968523355318</v>
      </c>
    </row>
    <row r="7011" spans="1:2" x14ac:dyDescent="0.3">
      <c r="A7011" s="2">
        <v>45950.041666666657</v>
      </c>
      <c r="B7011">
        <f>4118.48980934935*(3/4)</f>
        <v>3088.8673570120113</v>
      </c>
    </row>
    <row r="7012" spans="1:2" x14ac:dyDescent="0.3">
      <c r="A7012" s="2">
        <v>45950.083333333343</v>
      </c>
      <c r="B7012">
        <f>3993.62470846216*(3/4)</f>
        <v>2995.2185313466175</v>
      </c>
    </row>
    <row r="7013" spans="1:2" x14ac:dyDescent="0.3">
      <c r="A7013" s="2">
        <v>45950.125</v>
      </c>
      <c r="B7013">
        <f>4159.2404485645*(3/4)</f>
        <v>3119.4303364233738</v>
      </c>
    </row>
    <row r="7014" spans="1:2" x14ac:dyDescent="0.3">
      <c r="A7014" s="2">
        <v>45950.166666666657</v>
      </c>
      <c r="B7014">
        <f>3985.76426187417*(3/4)</f>
        <v>2989.323196405629</v>
      </c>
    </row>
    <row r="7015" spans="1:2" x14ac:dyDescent="0.3">
      <c r="A7015" s="2">
        <v>45950.208333333343</v>
      </c>
      <c r="B7015">
        <f>3892.41661874922*(3/4)</f>
        <v>2919.3124640619135</v>
      </c>
    </row>
    <row r="7016" spans="1:2" x14ac:dyDescent="0.3">
      <c r="A7016" s="2">
        <v>45950.25</v>
      </c>
      <c r="B7016">
        <f>3932.17432622604*(3/4)</f>
        <v>2949.1307446695278</v>
      </c>
    </row>
    <row r="7017" spans="1:2" x14ac:dyDescent="0.3">
      <c r="A7017" s="2">
        <v>45950.291666666657</v>
      </c>
      <c r="B7017">
        <f>4069.26632903003*(3/4)</f>
        <v>3051.9497467725209</v>
      </c>
    </row>
    <row r="7018" spans="1:2" x14ac:dyDescent="0.3">
      <c r="A7018" s="2">
        <v>45950.333333333343</v>
      </c>
      <c r="B7018">
        <f>3839.03446928818*(3/4)</f>
        <v>2879.275851966132</v>
      </c>
    </row>
    <row r="7019" spans="1:2" x14ac:dyDescent="0.3">
      <c r="A7019" s="2">
        <v>45950.375</v>
      </c>
      <c r="B7019">
        <f>3977.56780904722*(3/4)</f>
        <v>2983.175856785414</v>
      </c>
    </row>
    <row r="7020" spans="1:2" x14ac:dyDescent="0.3">
      <c r="A7020" s="2">
        <v>45950.416666666657</v>
      </c>
      <c r="B7020">
        <f>4259.73981917498*(3/4)</f>
        <v>3194.8048643812353</v>
      </c>
    </row>
    <row r="7021" spans="1:2" x14ac:dyDescent="0.3">
      <c r="A7021" s="2">
        <v>45950.458333333343</v>
      </c>
      <c r="B7021">
        <f>4240.47367177998*(3/4)</f>
        <v>3180.355253834985</v>
      </c>
    </row>
    <row r="7022" spans="1:2" x14ac:dyDescent="0.3">
      <c r="A7022" s="2">
        <v>45950.5</v>
      </c>
      <c r="B7022">
        <f>4288.44390219261*(3/4)</f>
        <v>3216.3329266444607</v>
      </c>
    </row>
    <row r="7023" spans="1:2" x14ac:dyDescent="0.3">
      <c r="A7023" s="2">
        <v>45950.541666666657</v>
      </c>
      <c r="B7023">
        <f>4039.54586178089*(3/4)</f>
        <v>3029.6593963356654</v>
      </c>
    </row>
    <row r="7024" spans="1:2" x14ac:dyDescent="0.3">
      <c r="A7024" s="2">
        <v>45950.583333333343</v>
      </c>
      <c r="B7024">
        <f>3928.30555254489*(3/4)</f>
        <v>2946.2291644086681</v>
      </c>
    </row>
    <row r="7025" spans="1:2" x14ac:dyDescent="0.3">
      <c r="A7025" s="2">
        <v>45950.625</v>
      </c>
      <c r="B7025">
        <f>4264.05624075787*(3/4)</f>
        <v>3198.0421805684009</v>
      </c>
    </row>
    <row r="7026" spans="1:2" x14ac:dyDescent="0.3">
      <c r="A7026" s="2">
        <v>45950.666666666657</v>
      </c>
      <c r="B7026">
        <f>4348.40182825063*(3/4)</f>
        <v>3261.3013711879757</v>
      </c>
    </row>
    <row r="7027" spans="1:2" x14ac:dyDescent="0.3">
      <c r="A7027" s="2">
        <v>45950.708333333343</v>
      </c>
      <c r="B7027">
        <f>3946.73870948668*(3/4)</f>
        <v>2960.0540321150092</v>
      </c>
    </row>
    <row r="7028" spans="1:2" x14ac:dyDescent="0.3">
      <c r="A7028" s="2">
        <v>45950.75</v>
      </c>
      <c r="B7028">
        <f>3879.98419982147*(3/4)</f>
        <v>2909.9881498661016</v>
      </c>
    </row>
    <row r="7029" spans="1:2" x14ac:dyDescent="0.3">
      <c r="A7029" s="2">
        <v>45950.791666666657</v>
      </c>
      <c r="B7029">
        <f>4145.7269874814*(3/4)</f>
        <v>3109.2952406110535</v>
      </c>
    </row>
    <row r="7030" spans="1:2" x14ac:dyDescent="0.3">
      <c r="A7030" s="2">
        <v>45950.833333333343</v>
      </c>
      <c r="B7030">
        <f>4266.64077600332*(3/4)</f>
        <v>3199.9805820024922</v>
      </c>
    </row>
    <row r="7031" spans="1:2" x14ac:dyDescent="0.3">
      <c r="A7031" s="2">
        <v>45950.875</v>
      </c>
      <c r="B7031">
        <f>4049.62362876836*(3/4)</f>
        <v>3037.2177215762667</v>
      </c>
    </row>
    <row r="7032" spans="1:2" x14ac:dyDescent="0.3">
      <c r="A7032" s="2">
        <v>45950.916666666657</v>
      </c>
      <c r="B7032">
        <f>3657.01233679786*(3/4)</f>
        <v>2742.7592525983928</v>
      </c>
    </row>
    <row r="7033" spans="1:2" x14ac:dyDescent="0.3">
      <c r="A7033" s="2">
        <v>45950.958333333343</v>
      </c>
      <c r="B7033">
        <f>3988.20392209388*(3/4)</f>
        <v>2991.1529415704108</v>
      </c>
    </row>
    <row r="7034" spans="1:2" x14ac:dyDescent="0.3">
      <c r="A7034" s="2">
        <v>45951</v>
      </c>
      <c r="B7034">
        <f>4012.956542282*(3/4)</f>
        <v>3009.717406711497</v>
      </c>
    </row>
    <row r="7035" spans="1:2" x14ac:dyDescent="0.3">
      <c r="A7035" s="2">
        <v>45951.041666666657</v>
      </c>
      <c r="B7035">
        <f>4069.90492934722*(3/4)</f>
        <v>3052.4286970104149</v>
      </c>
    </row>
    <row r="7036" spans="1:2" x14ac:dyDescent="0.3">
      <c r="A7036" s="2">
        <v>45951.083333333343</v>
      </c>
      <c r="B7036">
        <f>3594.73142712473*(3/4)</f>
        <v>2696.0485703435497</v>
      </c>
    </row>
    <row r="7037" spans="1:2" x14ac:dyDescent="0.3">
      <c r="A7037" s="2">
        <v>45951.125</v>
      </c>
      <c r="B7037">
        <f>3786.2303121554*(3/4)</f>
        <v>2839.6727341165501</v>
      </c>
    </row>
    <row r="7038" spans="1:2" x14ac:dyDescent="0.3">
      <c r="A7038" s="2">
        <v>45951.166666666657</v>
      </c>
      <c r="B7038">
        <f>3902.00969895052*(3/4)</f>
        <v>2926.5072742128932</v>
      </c>
    </row>
    <row r="7039" spans="1:2" x14ac:dyDescent="0.3">
      <c r="A7039" s="2">
        <v>45951.208333333343</v>
      </c>
      <c r="B7039">
        <f>3870.45319064791*(3/4)</f>
        <v>2902.8398929859295</v>
      </c>
    </row>
    <row r="7040" spans="1:2" x14ac:dyDescent="0.3">
      <c r="A7040" s="2">
        <v>45951.25</v>
      </c>
      <c r="B7040">
        <f>3893.45491320932*(3/4)</f>
        <v>2920.0911849069889</v>
      </c>
    </row>
    <row r="7041" spans="1:2" x14ac:dyDescent="0.3">
      <c r="A7041" s="2">
        <v>45951.291666666657</v>
      </c>
      <c r="B7041">
        <f>4049.16866982689*(3/4)</f>
        <v>3036.8765023701676</v>
      </c>
    </row>
    <row r="7042" spans="1:2" x14ac:dyDescent="0.3">
      <c r="A7042" s="2">
        <v>45951.333333333343</v>
      </c>
      <c r="B7042">
        <f>3858.58167509497*(3/4)</f>
        <v>2893.9362563212253</v>
      </c>
    </row>
    <row r="7043" spans="1:2" x14ac:dyDescent="0.3">
      <c r="A7043" s="2">
        <v>45951.375</v>
      </c>
      <c r="B7043">
        <f>4172.39465677532*(3/4)</f>
        <v>3129.2959925814903</v>
      </c>
    </row>
    <row r="7044" spans="1:2" x14ac:dyDescent="0.3">
      <c r="A7044" s="2">
        <v>45951.416666666657</v>
      </c>
      <c r="B7044">
        <f>4041.62065249478*(3/4)</f>
        <v>3031.2154893710849</v>
      </c>
    </row>
    <row r="7045" spans="1:2" x14ac:dyDescent="0.3">
      <c r="A7045" s="2">
        <v>45951.458333333343</v>
      </c>
      <c r="B7045">
        <f>4141.63370390887*(3/4)</f>
        <v>3106.2252779316532</v>
      </c>
    </row>
    <row r="7046" spans="1:2" x14ac:dyDescent="0.3">
      <c r="A7046" s="2">
        <v>45951.5</v>
      </c>
      <c r="B7046">
        <f>4027.66431347105*(3/4)</f>
        <v>3020.7482351032868</v>
      </c>
    </row>
    <row r="7047" spans="1:2" x14ac:dyDescent="0.3">
      <c r="A7047" s="2">
        <v>45951.541666666657</v>
      </c>
      <c r="B7047">
        <f>4213.56364110506*(3/4)</f>
        <v>3160.1727308287946</v>
      </c>
    </row>
    <row r="7048" spans="1:2" x14ac:dyDescent="0.3">
      <c r="A7048" s="2">
        <v>45951.583333333343</v>
      </c>
      <c r="B7048">
        <f>3769.6710979963*(3/4)</f>
        <v>2827.253323497222</v>
      </c>
    </row>
    <row r="7049" spans="1:2" x14ac:dyDescent="0.3">
      <c r="A7049" s="2">
        <v>45951.625</v>
      </c>
      <c r="B7049">
        <f>4235.5076433306*(3/4)</f>
        <v>3176.6307324979502</v>
      </c>
    </row>
    <row r="7050" spans="1:2" x14ac:dyDescent="0.3">
      <c r="A7050" s="2">
        <v>45951.666666666657</v>
      </c>
      <c r="B7050">
        <f>4136.40579532383*(3/4)</f>
        <v>3102.3043464928724</v>
      </c>
    </row>
    <row r="7051" spans="1:2" x14ac:dyDescent="0.3">
      <c r="A7051" s="2">
        <v>45951.708333333343</v>
      </c>
      <c r="B7051">
        <f>4316.73531901297*(3/4)</f>
        <v>3237.5514892597239</v>
      </c>
    </row>
    <row r="7052" spans="1:2" x14ac:dyDescent="0.3">
      <c r="A7052" s="2">
        <v>45951.75</v>
      </c>
      <c r="B7052">
        <f>3900.80455869329*(3/4)</f>
        <v>2925.6034190199689</v>
      </c>
    </row>
    <row r="7053" spans="1:2" x14ac:dyDescent="0.3">
      <c r="A7053" s="2">
        <v>45951.791666666657</v>
      </c>
      <c r="B7053">
        <f>4246.42544537893*(3/4)</f>
        <v>3184.8190840341977</v>
      </c>
    </row>
    <row r="7054" spans="1:2" x14ac:dyDescent="0.3">
      <c r="A7054" s="2">
        <v>45951.833333333343</v>
      </c>
      <c r="B7054">
        <f>4408.97411898883*(3/4)</f>
        <v>3306.7305892416211</v>
      </c>
    </row>
    <row r="7055" spans="1:2" x14ac:dyDescent="0.3">
      <c r="A7055" s="2">
        <v>45951.875</v>
      </c>
      <c r="B7055">
        <f>4093.23660084692*(3/4)</f>
        <v>3069.9274506351921</v>
      </c>
    </row>
    <row r="7056" spans="1:2" x14ac:dyDescent="0.3">
      <c r="A7056" s="2">
        <v>45951.916666666657</v>
      </c>
      <c r="B7056">
        <f>3923.90265521563*(3/4)</f>
        <v>2942.926991411719</v>
      </c>
    </row>
    <row r="7057" spans="1:2" x14ac:dyDescent="0.3">
      <c r="A7057" s="2">
        <v>45951.958333333343</v>
      </c>
      <c r="B7057">
        <f>3801.72025101896*(3/4)</f>
        <v>2851.2901882642191</v>
      </c>
    </row>
    <row r="7058" spans="1:2" x14ac:dyDescent="0.3">
      <c r="A7058" s="2">
        <v>45952</v>
      </c>
      <c r="B7058">
        <f>4183.78447952959*(3/4)</f>
        <v>3137.8383596471904</v>
      </c>
    </row>
    <row r="7059" spans="1:2" x14ac:dyDescent="0.3">
      <c r="A7059" s="2">
        <v>45952.041666666657</v>
      </c>
      <c r="B7059">
        <f>3677.22871257731*(3/4)</f>
        <v>2757.9215344329787</v>
      </c>
    </row>
    <row r="7060" spans="1:2" x14ac:dyDescent="0.3">
      <c r="A7060" s="2">
        <v>45952.083333333343</v>
      </c>
      <c r="B7060">
        <f>3675.64851418619*(3/4)</f>
        <v>2756.7363856396419</v>
      </c>
    </row>
    <row r="7061" spans="1:2" x14ac:dyDescent="0.3">
      <c r="A7061" s="2">
        <v>45952.125</v>
      </c>
      <c r="B7061">
        <f>3822.10220697915*(3/4)</f>
        <v>2866.5766552343634</v>
      </c>
    </row>
    <row r="7062" spans="1:2" x14ac:dyDescent="0.3">
      <c r="A7062" s="2">
        <v>45952.166666666657</v>
      </c>
      <c r="B7062">
        <f>4060.01692611502*(3/4)</f>
        <v>3045.0126945862644</v>
      </c>
    </row>
    <row r="7063" spans="1:2" x14ac:dyDescent="0.3">
      <c r="A7063" s="2">
        <v>45952.208333333343</v>
      </c>
      <c r="B7063">
        <f>3782.00928434793*(3/4)</f>
        <v>2836.5069632609507</v>
      </c>
    </row>
    <row r="7064" spans="1:2" x14ac:dyDescent="0.3">
      <c r="A7064" s="2">
        <v>45952.25</v>
      </c>
      <c r="B7064">
        <f>3689.1769364912*(3/4)</f>
        <v>2766.8827023683971</v>
      </c>
    </row>
    <row r="7065" spans="1:2" x14ac:dyDescent="0.3">
      <c r="A7065" s="2">
        <v>45952.291666666657</v>
      </c>
      <c r="B7065">
        <f>4005.69882468441*(3/4)</f>
        <v>3004.27411851331</v>
      </c>
    </row>
    <row r="7066" spans="1:2" x14ac:dyDescent="0.3">
      <c r="A7066" s="2">
        <v>45952.333333333343</v>
      </c>
      <c r="B7066">
        <f>4531.05888927133*(3/4)</f>
        <v>3398.2941669534976</v>
      </c>
    </row>
    <row r="7067" spans="1:2" x14ac:dyDescent="0.3">
      <c r="A7067" s="2">
        <v>45952.375</v>
      </c>
      <c r="B7067">
        <f>4190.16391655677*(3/4)</f>
        <v>3142.6229374175778</v>
      </c>
    </row>
    <row r="7068" spans="1:2" x14ac:dyDescent="0.3">
      <c r="A7068" s="2">
        <v>45952.416666666657</v>
      </c>
      <c r="B7068">
        <f>4011.30489184809*(3/4)</f>
        <v>3008.4786688860668</v>
      </c>
    </row>
    <row r="7069" spans="1:2" x14ac:dyDescent="0.3">
      <c r="A7069" s="2">
        <v>45952.458333333343</v>
      </c>
      <c r="B7069">
        <f>4091.55214616781*(3/4)</f>
        <v>3068.6641096258563</v>
      </c>
    </row>
    <row r="7070" spans="1:2" x14ac:dyDescent="0.3">
      <c r="A7070" s="2">
        <v>45952.5</v>
      </c>
      <c r="B7070">
        <f>3802.17222720192*(3/4)</f>
        <v>2851.6291704014375</v>
      </c>
    </row>
    <row r="7071" spans="1:2" x14ac:dyDescent="0.3">
      <c r="A7071" s="2">
        <v>45952.541666666657</v>
      </c>
      <c r="B7071">
        <f>4063.31044795342*(3/4)</f>
        <v>3047.4828359650642</v>
      </c>
    </row>
    <row r="7072" spans="1:2" x14ac:dyDescent="0.3">
      <c r="A7072" s="2">
        <v>45952.583333333343</v>
      </c>
      <c r="B7072">
        <f>3584.46433807099*(3/4)</f>
        <v>2688.3482535532457</v>
      </c>
    </row>
    <row r="7073" spans="1:2" x14ac:dyDescent="0.3">
      <c r="A7073" s="2">
        <v>45952.625</v>
      </c>
      <c r="B7073">
        <f>3839.90590529965*(3/4)</f>
        <v>2879.9294289747359</v>
      </c>
    </row>
    <row r="7074" spans="1:2" x14ac:dyDescent="0.3">
      <c r="A7074" s="2">
        <v>45952.666666666657</v>
      </c>
      <c r="B7074">
        <f>4200.9177591194*(3/4)</f>
        <v>3150.6883193395497</v>
      </c>
    </row>
    <row r="7075" spans="1:2" x14ac:dyDescent="0.3">
      <c r="A7075" s="2">
        <v>45952.708333333343</v>
      </c>
      <c r="B7075">
        <f>3799.69709463671*(3/4)</f>
        <v>2849.77282097753</v>
      </c>
    </row>
    <row r="7076" spans="1:2" x14ac:dyDescent="0.3">
      <c r="A7076" s="2">
        <v>45952.75</v>
      </c>
      <c r="B7076">
        <f>4139.78249634679*(3/4)</f>
        <v>3104.8368722600944</v>
      </c>
    </row>
    <row r="7077" spans="1:2" x14ac:dyDescent="0.3">
      <c r="A7077" s="2">
        <v>45952.791666666657</v>
      </c>
      <c r="B7077">
        <f>3914.19009009351*(3/4)</f>
        <v>2935.6425675701316</v>
      </c>
    </row>
    <row r="7078" spans="1:2" x14ac:dyDescent="0.3">
      <c r="A7078" s="2">
        <v>45952.833333333343</v>
      </c>
      <c r="B7078">
        <f>4213.13935587619*(3/4)</f>
        <v>3159.8545169071431</v>
      </c>
    </row>
    <row r="7079" spans="1:2" x14ac:dyDescent="0.3">
      <c r="A7079" s="2">
        <v>45952.875</v>
      </c>
      <c r="B7079">
        <f>4073.08246421596*(3/4)</f>
        <v>3054.8118481619686</v>
      </c>
    </row>
    <row r="7080" spans="1:2" x14ac:dyDescent="0.3">
      <c r="A7080" s="2">
        <v>45952.916666666657</v>
      </c>
      <c r="B7080">
        <f>4035.98892044061*(3/4)</f>
        <v>3026.9916903304597</v>
      </c>
    </row>
    <row r="7081" spans="1:2" x14ac:dyDescent="0.3">
      <c r="A7081" s="2">
        <v>45952.958333333343</v>
      </c>
      <c r="B7081">
        <f>3986.92031633902*(3/4)</f>
        <v>2990.1902372542659</v>
      </c>
    </row>
    <row r="7082" spans="1:2" x14ac:dyDescent="0.3">
      <c r="A7082" s="2">
        <v>45953</v>
      </c>
      <c r="B7082">
        <f>3942.63920709253*(3/4)</f>
        <v>2956.9794053193968</v>
      </c>
    </row>
    <row r="7083" spans="1:2" x14ac:dyDescent="0.3">
      <c r="A7083" s="2">
        <v>45953.041666666657</v>
      </c>
      <c r="B7083">
        <f>4133.7887441511*(3/4)</f>
        <v>3100.3415581133272</v>
      </c>
    </row>
    <row r="7084" spans="1:2" x14ac:dyDescent="0.3">
      <c r="A7084" s="2">
        <v>45953.083333333343</v>
      </c>
      <c r="B7084">
        <f>3660.3460061716*(3/4)</f>
        <v>2745.2595046287006</v>
      </c>
    </row>
    <row r="7085" spans="1:2" x14ac:dyDescent="0.3">
      <c r="A7085" s="2">
        <v>45953.125</v>
      </c>
      <c r="B7085">
        <f>3917.81863796783*(3/4)</f>
        <v>2938.3639784758725</v>
      </c>
    </row>
    <row r="7086" spans="1:2" x14ac:dyDescent="0.3">
      <c r="A7086" s="2">
        <v>45953.166666666657</v>
      </c>
      <c r="B7086">
        <f>3917.72514082642*(3/4)</f>
        <v>2938.2938556198128</v>
      </c>
    </row>
    <row r="7087" spans="1:2" x14ac:dyDescent="0.3">
      <c r="A7087" s="2">
        <v>45953.208333333343</v>
      </c>
      <c r="B7087">
        <f>3920.39772628178*(3/4)</f>
        <v>2940.2982947113323</v>
      </c>
    </row>
    <row r="7088" spans="1:2" x14ac:dyDescent="0.3">
      <c r="A7088" s="2">
        <v>45953.25</v>
      </c>
      <c r="B7088">
        <f>3923.21919196784*(3/4)</f>
        <v>2942.4143939758787</v>
      </c>
    </row>
    <row r="7089" spans="1:2" x14ac:dyDescent="0.3">
      <c r="A7089" s="2">
        <v>45953.291666666657</v>
      </c>
      <c r="B7089">
        <f>4264.32431928532*(3/4)</f>
        <v>3198.2432394639882</v>
      </c>
    </row>
    <row r="7090" spans="1:2" x14ac:dyDescent="0.3">
      <c r="A7090" s="2">
        <v>45953.333333333343</v>
      </c>
      <c r="B7090">
        <f>4146.97913137665*(3/4)</f>
        <v>3110.2343485324845</v>
      </c>
    </row>
    <row r="7091" spans="1:2" x14ac:dyDescent="0.3">
      <c r="A7091" s="2">
        <v>45953.375</v>
      </c>
      <c r="B7091">
        <f>3982.43690162258*(3/4)</f>
        <v>2986.8276762169312</v>
      </c>
    </row>
    <row r="7092" spans="1:2" x14ac:dyDescent="0.3">
      <c r="A7092" s="2">
        <v>45953.416666666657</v>
      </c>
      <c r="B7092">
        <f>4170.97303512605*(3/4)</f>
        <v>3128.2297763445404</v>
      </c>
    </row>
    <row r="7093" spans="1:2" x14ac:dyDescent="0.3">
      <c r="A7093" s="2">
        <v>45953.458333333343</v>
      </c>
      <c r="B7093">
        <f>4018.39866256061*(3/4)</f>
        <v>3013.7989969204573</v>
      </c>
    </row>
    <row r="7094" spans="1:2" x14ac:dyDescent="0.3">
      <c r="A7094" s="2">
        <v>45953.5</v>
      </c>
      <c r="B7094">
        <f>4335.39740291345*(3/4)</f>
        <v>3251.5480521850905</v>
      </c>
    </row>
    <row r="7095" spans="1:2" x14ac:dyDescent="0.3">
      <c r="A7095" s="2">
        <v>45953.541666666657</v>
      </c>
      <c r="B7095">
        <f>4000.21673876047*(3/4)</f>
        <v>3000.1625540703526</v>
      </c>
    </row>
    <row r="7096" spans="1:2" x14ac:dyDescent="0.3">
      <c r="A7096" s="2">
        <v>45953.583333333343</v>
      </c>
      <c r="B7096">
        <f>3870.42760743157*(3/4)</f>
        <v>2902.8207055736766</v>
      </c>
    </row>
    <row r="7097" spans="1:2" x14ac:dyDescent="0.3">
      <c r="A7097" s="2">
        <v>45953.625</v>
      </c>
      <c r="B7097">
        <f>4026.93436759428*(3/4)</f>
        <v>3020.2007756957109</v>
      </c>
    </row>
    <row r="7098" spans="1:2" x14ac:dyDescent="0.3">
      <c r="A7098" s="2">
        <v>45953.666666666657</v>
      </c>
      <c r="B7098">
        <f>3966.03427824808*(3/4)</f>
        <v>2974.5257086860579</v>
      </c>
    </row>
    <row r="7099" spans="1:2" x14ac:dyDescent="0.3">
      <c r="A7099" s="2">
        <v>45953.708333333343</v>
      </c>
      <c r="B7099">
        <f>4282.55395905194*(3/4)</f>
        <v>3211.9154692889588</v>
      </c>
    </row>
    <row r="7100" spans="1:2" x14ac:dyDescent="0.3">
      <c r="A7100" s="2">
        <v>45953.75</v>
      </c>
      <c r="B7100">
        <f>4029.31690814906*(3/4)</f>
        <v>3021.9876811117956</v>
      </c>
    </row>
    <row r="7101" spans="1:2" x14ac:dyDescent="0.3">
      <c r="A7101" s="2">
        <v>45953.791666666657</v>
      </c>
      <c r="B7101">
        <f>4031.87127308163*(3/4)</f>
        <v>3023.9034548112209</v>
      </c>
    </row>
    <row r="7102" spans="1:2" x14ac:dyDescent="0.3">
      <c r="A7102" s="2">
        <v>45953.833333333343</v>
      </c>
      <c r="B7102">
        <f>3987.32205512443*(3/4)</f>
        <v>2990.4915413433209</v>
      </c>
    </row>
    <row r="7103" spans="1:2" x14ac:dyDescent="0.3">
      <c r="A7103" s="2">
        <v>45953.875</v>
      </c>
      <c r="B7103">
        <f>4205.24934632778*(3/4)</f>
        <v>3153.9370097458354</v>
      </c>
    </row>
    <row r="7104" spans="1:2" x14ac:dyDescent="0.3">
      <c r="A7104" s="2">
        <v>45953.916666666657</v>
      </c>
      <c r="B7104">
        <f>3221.54107576149*(3/4)</f>
        <v>2416.1558068211152</v>
      </c>
    </row>
    <row r="7105" spans="1:2" x14ac:dyDescent="0.3">
      <c r="A7105" s="2">
        <v>45953.958333333343</v>
      </c>
      <c r="B7105">
        <f>4009.46909985496*(3/4)</f>
        <v>3007.1018248912233</v>
      </c>
    </row>
    <row r="7106" spans="1:2" x14ac:dyDescent="0.3">
      <c r="A7106" s="2">
        <v>45954</v>
      </c>
      <c r="B7106">
        <f>3762.41044380594*(3/4)</f>
        <v>2821.8078328544561</v>
      </c>
    </row>
    <row r="7107" spans="1:2" x14ac:dyDescent="0.3">
      <c r="A7107" s="2">
        <v>45954.041666666657</v>
      </c>
      <c r="B7107">
        <f>4108.52236244155*(3/4)</f>
        <v>3081.3917718311604</v>
      </c>
    </row>
    <row r="7108" spans="1:2" x14ac:dyDescent="0.3">
      <c r="A7108" s="2">
        <v>45954.083333333343</v>
      </c>
      <c r="B7108">
        <f>4132.01727747232*(3/4)</f>
        <v>3099.0129581042411</v>
      </c>
    </row>
    <row r="7109" spans="1:2" x14ac:dyDescent="0.3">
      <c r="A7109" s="2">
        <v>45954.125</v>
      </c>
      <c r="B7109">
        <f>3818.20389359575*(3/4)</f>
        <v>2863.6529201968142</v>
      </c>
    </row>
    <row r="7110" spans="1:2" x14ac:dyDescent="0.3">
      <c r="A7110" s="2">
        <v>45954.166666666657</v>
      </c>
      <c r="B7110">
        <f>4063.29302108624*(3/4)</f>
        <v>3047.4697658146806</v>
      </c>
    </row>
    <row r="7111" spans="1:2" x14ac:dyDescent="0.3">
      <c r="A7111" s="2">
        <v>45954.208333333343</v>
      </c>
      <c r="B7111">
        <f>4071.8829838529*(3/4)</f>
        <v>3053.9122378896782</v>
      </c>
    </row>
    <row r="7112" spans="1:2" x14ac:dyDescent="0.3">
      <c r="A7112" s="2">
        <v>45954.25</v>
      </c>
      <c r="B7112">
        <f>3878.74174895018*(3/4)</f>
        <v>2909.0563117126344</v>
      </c>
    </row>
    <row r="7113" spans="1:2" x14ac:dyDescent="0.3">
      <c r="A7113" s="2">
        <v>45954.291666666657</v>
      </c>
      <c r="B7113">
        <f>3971.98760873183*(3/4)</f>
        <v>2978.9907065488742</v>
      </c>
    </row>
    <row r="7114" spans="1:2" x14ac:dyDescent="0.3">
      <c r="A7114" s="2">
        <v>45954.333333333343</v>
      </c>
      <c r="B7114">
        <f>4136.37710229499*(3/4)</f>
        <v>3102.2828267212408</v>
      </c>
    </row>
    <row r="7115" spans="1:2" x14ac:dyDescent="0.3">
      <c r="A7115" s="2">
        <v>45954.375</v>
      </c>
      <c r="B7115">
        <f>4293.53269316816*(3/4)</f>
        <v>3220.1495198761177</v>
      </c>
    </row>
    <row r="7116" spans="1:2" x14ac:dyDescent="0.3">
      <c r="A7116" s="2">
        <v>45954.416666666657</v>
      </c>
      <c r="B7116">
        <f>3715.05621894155*(3/4)</f>
        <v>2786.2921642061592</v>
      </c>
    </row>
    <row r="7117" spans="1:2" x14ac:dyDescent="0.3">
      <c r="A7117" s="2">
        <v>45954.458333333343</v>
      </c>
      <c r="B7117">
        <f>3955.73174249907*(3/4)</f>
        <v>2966.7988068743052</v>
      </c>
    </row>
    <row r="7118" spans="1:2" x14ac:dyDescent="0.3">
      <c r="A7118" s="2">
        <v>45954.5</v>
      </c>
      <c r="B7118">
        <f>3981.90314893376*(3/4)</f>
        <v>2986.4273617003205</v>
      </c>
    </row>
    <row r="7119" spans="1:2" x14ac:dyDescent="0.3">
      <c r="A7119" s="2">
        <v>45954.541666666657</v>
      </c>
      <c r="B7119">
        <f>4037.85658114659*(3/4)</f>
        <v>3028.392435859942</v>
      </c>
    </row>
    <row r="7120" spans="1:2" x14ac:dyDescent="0.3">
      <c r="A7120" s="2">
        <v>45954.583333333343</v>
      </c>
      <c r="B7120">
        <f>3776.66204576926*(3/4)</f>
        <v>2832.496534326945</v>
      </c>
    </row>
    <row r="7121" spans="1:2" x14ac:dyDescent="0.3">
      <c r="A7121" s="2">
        <v>45954.625</v>
      </c>
      <c r="B7121">
        <f>4207.09513671967*(3/4)</f>
        <v>3155.3213525397559</v>
      </c>
    </row>
    <row r="7122" spans="1:2" x14ac:dyDescent="0.3">
      <c r="A7122" s="2">
        <v>45954.666666666657</v>
      </c>
      <c r="B7122">
        <f>4178.18774492918*(3/4)</f>
        <v>3133.6408086968827</v>
      </c>
    </row>
    <row r="7123" spans="1:2" x14ac:dyDescent="0.3">
      <c r="A7123" s="2">
        <v>45954.708333333343</v>
      </c>
      <c r="B7123">
        <f>3973.48140216897*(3/4)</f>
        <v>2980.1110516267304</v>
      </c>
    </row>
    <row r="7124" spans="1:2" x14ac:dyDescent="0.3">
      <c r="A7124" s="2">
        <v>45954.75</v>
      </c>
      <c r="B7124">
        <f>4071.87533933221*(3/4)</f>
        <v>3053.9065044991544</v>
      </c>
    </row>
    <row r="7125" spans="1:2" x14ac:dyDescent="0.3">
      <c r="A7125" s="2">
        <v>45954.791666666657</v>
      </c>
      <c r="B7125">
        <f>4038.3974571178*(3/4)</f>
        <v>3028.7980928383513</v>
      </c>
    </row>
    <row r="7126" spans="1:2" x14ac:dyDescent="0.3">
      <c r="A7126" s="2">
        <v>45954.833333333343</v>
      </c>
      <c r="B7126">
        <f>3817.27639396903*(3/4)</f>
        <v>2862.9572954767723</v>
      </c>
    </row>
    <row r="7127" spans="1:2" x14ac:dyDescent="0.3">
      <c r="A7127" s="2">
        <v>45954.875</v>
      </c>
      <c r="B7127">
        <f>4096.60466961721*(3/4)</f>
        <v>3072.453502212908</v>
      </c>
    </row>
    <row r="7128" spans="1:2" x14ac:dyDescent="0.3">
      <c r="A7128" s="2">
        <v>45954.916666666657</v>
      </c>
      <c r="B7128">
        <f>3718.58248012936*(3/4)</f>
        <v>2788.936860097022</v>
      </c>
    </row>
    <row r="7129" spans="1:2" x14ac:dyDescent="0.3">
      <c r="A7129" s="2">
        <v>45954.958333333343</v>
      </c>
      <c r="B7129">
        <f>3909.20233800625*(3/4)</f>
        <v>2931.9017535046837</v>
      </c>
    </row>
    <row r="7130" spans="1:2" x14ac:dyDescent="0.3">
      <c r="A7130" s="2">
        <v>45955</v>
      </c>
      <c r="B7130">
        <f>4544.71070415062*(3/4)</f>
        <v>3408.5330281129641</v>
      </c>
    </row>
    <row r="7131" spans="1:2" x14ac:dyDescent="0.3">
      <c r="A7131" s="2">
        <v>45955.041666666657</v>
      </c>
      <c r="B7131">
        <f>3739.22728333466*(3/4)</f>
        <v>2804.420462500992</v>
      </c>
    </row>
    <row r="7132" spans="1:2" x14ac:dyDescent="0.3">
      <c r="A7132" s="2">
        <v>45955.083333333343</v>
      </c>
      <c r="B7132">
        <f>3909.47458214722*(3/4)</f>
        <v>2932.1059366104114</v>
      </c>
    </row>
    <row r="7133" spans="1:2" x14ac:dyDescent="0.3">
      <c r="A7133" s="2">
        <v>45955.125</v>
      </c>
      <c r="B7133">
        <f>3828.8468932024*(3/4)</f>
        <v>2871.6351699018014</v>
      </c>
    </row>
    <row r="7134" spans="1:2" x14ac:dyDescent="0.3">
      <c r="A7134" s="2">
        <v>45955.166666666657</v>
      </c>
      <c r="B7134">
        <f>4148.27160046255*(3/4)</f>
        <v>3111.203700346914</v>
      </c>
    </row>
    <row r="7135" spans="1:2" x14ac:dyDescent="0.3">
      <c r="A7135" s="2">
        <v>45955.208333333343</v>
      </c>
      <c r="B7135">
        <f>3930.02679595476*(3/4)</f>
        <v>2947.5200969660664</v>
      </c>
    </row>
    <row r="7136" spans="1:2" x14ac:dyDescent="0.3">
      <c r="A7136" s="2">
        <v>45955.25</v>
      </c>
      <c r="B7136">
        <f>4049.65328259785*(3/4)</f>
        <v>3037.2399619483904</v>
      </c>
    </row>
    <row r="7137" spans="1:2" x14ac:dyDescent="0.3">
      <c r="A7137" s="2">
        <v>45955.291666666657</v>
      </c>
      <c r="B7137">
        <f>3804.24334412322*(3/4)</f>
        <v>2853.1825080924127</v>
      </c>
    </row>
    <row r="7138" spans="1:2" x14ac:dyDescent="0.3">
      <c r="A7138" s="2">
        <v>45955.333333333343</v>
      </c>
      <c r="B7138">
        <f>3898.74638842446*(3/4)</f>
        <v>2924.0597913183487</v>
      </c>
    </row>
    <row r="7139" spans="1:2" x14ac:dyDescent="0.3">
      <c r="A7139" s="2">
        <v>45955.375</v>
      </c>
      <c r="B7139">
        <f>4226.87757264406*(3/4)</f>
        <v>3170.1581794830449</v>
      </c>
    </row>
    <row r="7140" spans="1:2" x14ac:dyDescent="0.3">
      <c r="A7140" s="2">
        <v>45955.416666666657</v>
      </c>
      <c r="B7140">
        <f>3953.48550413518*(3/4)</f>
        <v>2965.114128101387</v>
      </c>
    </row>
    <row r="7141" spans="1:2" x14ac:dyDescent="0.3">
      <c r="A7141" s="2">
        <v>45955.458333333343</v>
      </c>
      <c r="B7141">
        <f>4082.7304935303*(3/4)</f>
        <v>3062.0478701477214</v>
      </c>
    </row>
    <row r="7142" spans="1:2" x14ac:dyDescent="0.3">
      <c r="A7142" s="2">
        <v>45955.5</v>
      </c>
      <c r="B7142">
        <f>4153.55669185146*(3/4)</f>
        <v>3115.1675188885961</v>
      </c>
    </row>
    <row r="7143" spans="1:2" x14ac:dyDescent="0.3">
      <c r="A7143" s="2">
        <v>45955.541666666657</v>
      </c>
      <c r="B7143">
        <f>3718.47552969639*(3/4)</f>
        <v>2788.856647272291</v>
      </c>
    </row>
    <row r="7144" spans="1:2" x14ac:dyDescent="0.3">
      <c r="A7144" s="2">
        <v>45955.583333333343</v>
      </c>
      <c r="B7144">
        <f>3660.03888386276*(3/4)</f>
        <v>2745.0291628970685</v>
      </c>
    </row>
    <row r="7145" spans="1:2" x14ac:dyDescent="0.3">
      <c r="A7145" s="2">
        <v>45955.625</v>
      </c>
      <c r="B7145">
        <f>4272.85940305213*(3/4)</f>
        <v>3204.6445522890954</v>
      </c>
    </row>
    <row r="7146" spans="1:2" x14ac:dyDescent="0.3">
      <c r="A7146" s="2">
        <v>45955.666666666657</v>
      </c>
      <c r="B7146">
        <f>4387.25811062109*(3/4)</f>
        <v>3290.4435829658159</v>
      </c>
    </row>
    <row r="7147" spans="1:2" x14ac:dyDescent="0.3">
      <c r="A7147" s="2">
        <v>45955.708333333343</v>
      </c>
      <c r="B7147">
        <f>4157.21725647258*(3/4)</f>
        <v>3117.9129423544327</v>
      </c>
    </row>
    <row r="7148" spans="1:2" x14ac:dyDescent="0.3">
      <c r="A7148" s="2">
        <v>45955.75</v>
      </c>
      <c r="B7148">
        <f>3872.90383153403*(3/4)</f>
        <v>2904.6778736505262</v>
      </c>
    </row>
    <row r="7149" spans="1:2" x14ac:dyDescent="0.3">
      <c r="A7149" s="2">
        <v>45955.791666666657</v>
      </c>
      <c r="B7149">
        <f>3897.02782518497*(3/4)</f>
        <v>2922.770868888726</v>
      </c>
    </row>
    <row r="7150" spans="1:2" x14ac:dyDescent="0.3">
      <c r="A7150" s="2">
        <v>45955.833333333343</v>
      </c>
      <c r="B7150">
        <f>4231.30421867573*(3/4)</f>
        <v>3173.4781640068004</v>
      </c>
    </row>
    <row r="7151" spans="1:2" x14ac:dyDescent="0.3">
      <c r="A7151" s="2">
        <v>45955.875</v>
      </c>
      <c r="B7151">
        <f>3842.0471751177*(3/4)</f>
        <v>2881.5353813382735</v>
      </c>
    </row>
    <row r="7152" spans="1:2" x14ac:dyDescent="0.3">
      <c r="A7152" s="2">
        <v>45955.916666666657</v>
      </c>
      <c r="B7152">
        <f>3592.56585615909*(3/4)</f>
        <v>2694.4243921193165</v>
      </c>
    </row>
    <row r="7153" spans="1:2" x14ac:dyDescent="0.3">
      <c r="A7153" s="2">
        <v>45955.958333333343</v>
      </c>
      <c r="B7153">
        <f>3839.79267682846*(3/4)</f>
        <v>2879.8445076213452</v>
      </c>
    </row>
    <row r="7154" spans="1:2" x14ac:dyDescent="0.3">
      <c r="A7154" s="2">
        <v>45956</v>
      </c>
      <c r="B7154">
        <f>3898.65318129654*(3/4)</f>
        <v>2923.989885972409</v>
      </c>
    </row>
    <row r="7155" spans="1:2" x14ac:dyDescent="0.3">
      <c r="A7155" s="2">
        <v>45956.041666666657</v>
      </c>
      <c r="B7155">
        <f>3710.99720271134*(3/4)</f>
        <v>2783.2479020335072</v>
      </c>
    </row>
    <row r="7156" spans="1:2" x14ac:dyDescent="0.3">
      <c r="A7156" s="2">
        <v>45956.083333333343</v>
      </c>
      <c r="B7156">
        <f>3665.86272140686*(3/4)</f>
        <v>2749.3970410551419</v>
      </c>
    </row>
    <row r="7157" spans="1:2" x14ac:dyDescent="0.3">
      <c r="A7157" s="2">
        <v>45956.125</v>
      </c>
      <c r="B7157">
        <f>3820.04067674196*(3/4)</f>
        <v>2865.030507556467</v>
      </c>
    </row>
    <row r="7158" spans="1:2" x14ac:dyDescent="0.3">
      <c r="A7158" s="2">
        <v>45956.166666666657</v>
      </c>
      <c r="B7158">
        <f>3764.27769604851*(3/4)</f>
        <v>2823.2082720363824</v>
      </c>
    </row>
    <row r="7159" spans="1:2" x14ac:dyDescent="0.3">
      <c r="A7159" s="2">
        <v>45956.208333333343</v>
      </c>
      <c r="B7159">
        <f>3913.17410075277*(3/4)</f>
        <v>2934.8805755645785</v>
      </c>
    </row>
    <row r="7160" spans="1:2" x14ac:dyDescent="0.3">
      <c r="A7160" s="2">
        <v>45956.25</v>
      </c>
      <c r="B7160">
        <f>3829.7856312769*(3/4)</f>
        <v>2872.3392234576786</v>
      </c>
    </row>
    <row r="7161" spans="1:2" x14ac:dyDescent="0.3">
      <c r="A7161" s="2">
        <v>45956.291666666657</v>
      </c>
      <c r="B7161">
        <f>4281.06150379398*(3/4)</f>
        <v>3210.7961278454814</v>
      </c>
    </row>
    <row r="7162" spans="1:2" x14ac:dyDescent="0.3">
      <c r="A7162" s="2">
        <v>45956.333333333343</v>
      </c>
      <c r="B7162">
        <f>3533.32879876606*(3/4)</f>
        <v>2649.9965990745427</v>
      </c>
    </row>
    <row r="7163" spans="1:2" x14ac:dyDescent="0.3">
      <c r="A7163" s="2">
        <v>45956.375</v>
      </c>
      <c r="B7163">
        <f>3519.83023537032*(3/4)</f>
        <v>2639.8726765277429</v>
      </c>
    </row>
    <row r="7164" spans="1:2" x14ac:dyDescent="0.3">
      <c r="A7164" s="2">
        <v>45956.416666666657</v>
      </c>
      <c r="B7164">
        <f>3282.27017215204*(3/4)</f>
        <v>2461.7026291140323</v>
      </c>
    </row>
    <row r="7165" spans="1:2" x14ac:dyDescent="0.3">
      <c r="A7165" s="2">
        <v>45956.458333333343</v>
      </c>
      <c r="B7165">
        <f>3052.82891435001*(3/4)</f>
        <v>2289.6216857625045</v>
      </c>
    </row>
    <row r="7166" spans="1:2" x14ac:dyDescent="0.3">
      <c r="A7166" s="2">
        <v>45956.5</v>
      </c>
      <c r="B7166">
        <f>2908.43987102489*(3/4)</f>
        <v>2181.3299032686691</v>
      </c>
    </row>
    <row r="7167" spans="1:2" x14ac:dyDescent="0.3">
      <c r="A7167" s="2">
        <v>45956.541666666657</v>
      </c>
      <c r="B7167">
        <f>3252.14980253969*(3/4)</f>
        <v>2439.1123519047715</v>
      </c>
    </row>
    <row r="7168" spans="1:2" x14ac:dyDescent="0.3">
      <c r="A7168" s="2">
        <v>45956.583333333343</v>
      </c>
      <c r="B7168">
        <f>2939.27606731681*(3/4)</f>
        <v>2204.4570504876087</v>
      </c>
    </row>
    <row r="7169" spans="1:2" x14ac:dyDescent="0.3">
      <c r="A7169" s="2">
        <v>45956.625</v>
      </c>
      <c r="B7169">
        <f>3128.52505024541*(3/4)</f>
        <v>2346.3937876840546</v>
      </c>
    </row>
    <row r="7170" spans="1:2" x14ac:dyDescent="0.3">
      <c r="A7170" s="2">
        <v>45956.666666666657</v>
      </c>
      <c r="B7170">
        <f>3641.85324333913*(3/4)</f>
        <v>2731.389932504349</v>
      </c>
    </row>
    <row r="7171" spans="1:2" x14ac:dyDescent="0.3">
      <c r="A7171" s="2">
        <v>45956.708333333343</v>
      </c>
      <c r="B7171">
        <f>4205.7450218797*(3/4)</f>
        <v>3154.3087664097757</v>
      </c>
    </row>
    <row r="7172" spans="1:2" x14ac:dyDescent="0.3">
      <c r="A7172" s="2">
        <v>45956.75</v>
      </c>
      <c r="B7172">
        <f>3870.2332628651*(3/4)</f>
        <v>2902.6749471488265</v>
      </c>
    </row>
    <row r="7173" spans="1:2" x14ac:dyDescent="0.3">
      <c r="A7173" s="2">
        <v>45956.791666666657</v>
      </c>
      <c r="B7173">
        <f>4019.39894635903*(3/4)</f>
        <v>3014.5492097692709</v>
      </c>
    </row>
    <row r="7174" spans="1:2" x14ac:dyDescent="0.3">
      <c r="A7174" s="2">
        <v>45956.833333333343</v>
      </c>
      <c r="B7174">
        <f>4152.72366242092*(3/4)</f>
        <v>3114.5427468156922</v>
      </c>
    </row>
    <row r="7175" spans="1:2" x14ac:dyDescent="0.3">
      <c r="A7175" s="2">
        <v>45956.875</v>
      </c>
      <c r="B7175">
        <f>3825.23450220688*(3/4)</f>
        <v>2868.925876655162</v>
      </c>
    </row>
    <row r="7176" spans="1:2" x14ac:dyDescent="0.3">
      <c r="A7176" s="2">
        <v>45956.916666666657</v>
      </c>
      <c r="B7176">
        <f>3694.35695824283*(3/4)</f>
        <v>2770.7677186821202</v>
      </c>
    </row>
    <row r="7177" spans="1:2" x14ac:dyDescent="0.3">
      <c r="A7177" s="2">
        <v>45956.958333333343</v>
      </c>
      <c r="B7177">
        <f>3728.90498818186*(3/4)</f>
        <v>2796.6787411363921</v>
      </c>
    </row>
    <row r="7178" spans="1:2" x14ac:dyDescent="0.3">
      <c r="A7178" s="2">
        <v>45957</v>
      </c>
      <c r="B7178">
        <f>3727.4403120712*(3/4)</f>
        <v>2795.5802340534005</v>
      </c>
    </row>
    <row r="7179" spans="1:2" x14ac:dyDescent="0.3">
      <c r="A7179" s="2">
        <v>45957.041666666657</v>
      </c>
      <c r="B7179">
        <f>3723.40985298031*(3/4)</f>
        <v>2792.5573897352338</v>
      </c>
    </row>
    <row r="7180" spans="1:2" x14ac:dyDescent="0.3">
      <c r="A7180" s="2">
        <v>45957.083333333343</v>
      </c>
      <c r="B7180">
        <f>3997.36643785552*(3/4)</f>
        <v>2998.0248283916426</v>
      </c>
    </row>
    <row r="7181" spans="1:2" x14ac:dyDescent="0.3">
      <c r="A7181" s="2">
        <v>45957.125</v>
      </c>
      <c r="B7181">
        <f>4073.96167291238*(3/4)</f>
        <v>3055.4712546842857</v>
      </c>
    </row>
    <row r="7182" spans="1:2" x14ac:dyDescent="0.3">
      <c r="A7182" s="2">
        <v>45957.166666666657</v>
      </c>
      <c r="B7182">
        <f>4028.7000735022*(3/4)</f>
        <v>3021.5250551266527</v>
      </c>
    </row>
    <row r="7183" spans="1:2" x14ac:dyDescent="0.3">
      <c r="A7183" s="2">
        <v>45957.208333333343</v>
      </c>
      <c r="B7183">
        <f>3696.92932112166*(3/4)</f>
        <v>2772.696990841242</v>
      </c>
    </row>
    <row r="7184" spans="1:2" x14ac:dyDescent="0.3">
      <c r="A7184" s="2">
        <v>45957.25</v>
      </c>
      <c r="B7184">
        <f>3722.27860666036*(3/4)</f>
        <v>2791.7089549952684</v>
      </c>
    </row>
    <row r="7185" spans="1:2" x14ac:dyDescent="0.3">
      <c r="A7185" s="2">
        <v>45957.291666666657</v>
      </c>
      <c r="B7185">
        <f>3882.69187795655*(3/4)</f>
        <v>2912.0189084674139</v>
      </c>
    </row>
    <row r="7186" spans="1:2" x14ac:dyDescent="0.3">
      <c r="A7186" s="2">
        <v>45957.333333333343</v>
      </c>
      <c r="B7186">
        <f>4518.2743211496*(3/4)</f>
        <v>3388.7057408622027</v>
      </c>
    </row>
    <row r="7187" spans="1:2" x14ac:dyDescent="0.3">
      <c r="A7187" s="2">
        <v>45957.375</v>
      </c>
      <c r="B7187">
        <f>4010.46460355072*(3/4)</f>
        <v>3007.8484526630418</v>
      </c>
    </row>
    <row r="7188" spans="1:2" x14ac:dyDescent="0.3">
      <c r="A7188" s="2">
        <v>45957.416666666657</v>
      </c>
      <c r="B7188">
        <f>4186.38788457092*(3/4)</f>
        <v>3139.7909134281908</v>
      </c>
    </row>
    <row r="7189" spans="1:2" x14ac:dyDescent="0.3">
      <c r="A7189" s="2">
        <v>45957.458333333343</v>
      </c>
      <c r="B7189">
        <f>3780.25533789338*(3/4)</f>
        <v>2835.1915034200319</v>
      </c>
    </row>
    <row r="7190" spans="1:2" x14ac:dyDescent="0.3">
      <c r="A7190" s="2">
        <v>45957.5</v>
      </c>
      <c r="B7190">
        <f>4134.27727239638*(3/4)</f>
        <v>3100.7079542972815</v>
      </c>
    </row>
    <row r="7191" spans="1:2" x14ac:dyDescent="0.3">
      <c r="A7191" s="2">
        <v>45957.541666666657</v>
      </c>
      <c r="B7191">
        <f>3956.01861696108*(3/4)</f>
        <v>2967.0139627208109</v>
      </c>
    </row>
    <row r="7192" spans="1:2" x14ac:dyDescent="0.3">
      <c r="A7192" s="2">
        <v>45957.583333333343</v>
      </c>
      <c r="B7192">
        <f>3930.48507314023*(3/4)</f>
        <v>2947.8638048551716</v>
      </c>
    </row>
    <row r="7193" spans="1:2" x14ac:dyDescent="0.3">
      <c r="A7193" s="2">
        <v>45957.625</v>
      </c>
      <c r="B7193">
        <f>4108.94074201495*(3/4)</f>
        <v>3081.7055565112146</v>
      </c>
    </row>
    <row r="7194" spans="1:2" x14ac:dyDescent="0.3">
      <c r="A7194" s="2">
        <v>45957.666666666657</v>
      </c>
      <c r="B7194">
        <f>4094.22401736696*(3/4)</f>
        <v>3070.6680130252184</v>
      </c>
    </row>
    <row r="7195" spans="1:2" x14ac:dyDescent="0.3">
      <c r="A7195" s="2">
        <v>45957.708333333343</v>
      </c>
      <c r="B7195">
        <f>4201.75021753747*(3/4)</f>
        <v>3151.3126631531049</v>
      </c>
    </row>
    <row r="7196" spans="1:2" x14ac:dyDescent="0.3">
      <c r="A7196" s="2">
        <v>45957.75</v>
      </c>
      <c r="B7196">
        <f>3923.86284850827*(3/4)</f>
        <v>2942.8971363812016</v>
      </c>
    </row>
    <row r="7197" spans="1:2" x14ac:dyDescent="0.3">
      <c r="A7197" s="2">
        <v>45957.791666666657</v>
      </c>
      <c r="B7197">
        <f>4358.97759804283*(3/4)</f>
        <v>3269.2331985321225</v>
      </c>
    </row>
    <row r="7198" spans="1:2" x14ac:dyDescent="0.3">
      <c r="A7198" s="2">
        <v>45957.833333333343</v>
      </c>
      <c r="B7198">
        <f>3750.38301548486*(3/4)</f>
        <v>2812.7872616136465</v>
      </c>
    </row>
    <row r="7199" spans="1:2" x14ac:dyDescent="0.3">
      <c r="A7199" s="2">
        <v>45957.875</v>
      </c>
      <c r="B7199">
        <f>4308.03716409444*(3/4)</f>
        <v>3231.0278730708287</v>
      </c>
    </row>
    <row r="7200" spans="1:2" x14ac:dyDescent="0.3">
      <c r="A7200" s="2">
        <v>45957.916666666657</v>
      </c>
      <c r="B7200">
        <f>3910.66188634789*(3/4)</f>
        <v>2932.9964147609185</v>
      </c>
    </row>
    <row r="7201" spans="1:2" x14ac:dyDescent="0.3">
      <c r="A7201" s="2">
        <v>45957.958333333343</v>
      </c>
      <c r="B7201">
        <f>3998.0141369063*(3/4)</f>
        <v>2998.5106026797248</v>
      </c>
    </row>
    <row r="7202" spans="1:2" x14ac:dyDescent="0.3">
      <c r="A7202" s="2">
        <v>45958</v>
      </c>
      <c r="B7202">
        <f>3849.70411656513*(3/4)</f>
        <v>2887.278087423851</v>
      </c>
    </row>
    <row r="7203" spans="1:2" x14ac:dyDescent="0.3">
      <c r="A7203" s="2">
        <v>45958.041666666657</v>
      </c>
      <c r="B7203">
        <f>3978.46124258838*(3/4)</f>
        <v>2983.8459319412873</v>
      </c>
    </row>
    <row r="7204" spans="1:2" x14ac:dyDescent="0.3">
      <c r="A7204" s="2">
        <v>45958.083333333343</v>
      </c>
      <c r="B7204">
        <f>4153.22427318562*(3/4)</f>
        <v>3114.9182048892189</v>
      </c>
    </row>
    <row r="7205" spans="1:2" x14ac:dyDescent="0.3">
      <c r="A7205" s="2">
        <v>45958.125</v>
      </c>
      <c r="B7205">
        <f>4138.80458207699*(3/4)</f>
        <v>3104.103436557742</v>
      </c>
    </row>
    <row r="7206" spans="1:2" x14ac:dyDescent="0.3">
      <c r="A7206" s="2">
        <v>45958.166666666657</v>
      </c>
      <c r="B7206">
        <f>3873.49778923042*(3/4)</f>
        <v>2905.1233419228111</v>
      </c>
    </row>
    <row r="7207" spans="1:2" x14ac:dyDescent="0.3">
      <c r="A7207" s="2">
        <v>45958.208333333343</v>
      </c>
      <c r="B7207">
        <f>3883.75203310228*(3/4)</f>
        <v>2912.8140248267109</v>
      </c>
    </row>
    <row r="7208" spans="1:2" x14ac:dyDescent="0.3">
      <c r="A7208" s="2">
        <v>45958.25</v>
      </c>
      <c r="B7208">
        <f>3975.52355914899*(3/4)</f>
        <v>2981.6426693617454</v>
      </c>
    </row>
    <row r="7209" spans="1:2" x14ac:dyDescent="0.3">
      <c r="A7209" s="2">
        <v>45958.291666666657</v>
      </c>
      <c r="B7209">
        <f>4000.81908456504*(3/4)</f>
        <v>3000.61431342378</v>
      </c>
    </row>
    <row r="7210" spans="1:2" x14ac:dyDescent="0.3">
      <c r="A7210" s="2">
        <v>45958.333333333343</v>
      </c>
      <c r="B7210">
        <f>4199.73252603277*(3/4)</f>
        <v>3149.799394524578</v>
      </c>
    </row>
    <row r="7211" spans="1:2" x14ac:dyDescent="0.3">
      <c r="A7211" s="2">
        <v>45958.375</v>
      </c>
      <c r="B7211">
        <f>4275.10200925034*(3/4)</f>
        <v>3206.3265069377576</v>
      </c>
    </row>
    <row r="7212" spans="1:2" x14ac:dyDescent="0.3">
      <c r="A7212" s="2">
        <v>45958.416666666657</v>
      </c>
      <c r="B7212">
        <f>4189.08620655987*(3/4)</f>
        <v>3141.8146549199064</v>
      </c>
    </row>
    <row r="7213" spans="1:2" x14ac:dyDescent="0.3">
      <c r="A7213" s="2">
        <v>45958.458333333343</v>
      </c>
      <c r="B7213">
        <f>3825.92862543527*(3/4)</f>
        <v>2869.4464690764489</v>
      </c>
    </row>
    <row r="7214" spans="1:2" x14ac:dyDescent="0.3">
      <c r="A7214" s="2">
        <v>45958.5</v>
      </c>
      <c r="B7214">
        <f>4006.16549293433*(3/4)</f>
        <v>3004.6241197007494</v>
      </c>
    </row>
    <row r="7215" spans="1:2" x14ac:dyDescent="0.3">
      <c r="A7215" s="2">
        <v>45958.541666666657</v>
      </c>
      <c r="B7215">
        <f>3846.48793674779*(3/4)</f>
        <v>2884.8659525608441</v>
      </c>
    </row>
    <row r="7216" spans="1:2" x14ac:dyDescent="0.3">
      <c r="A7216" s="2">
        <v>45958.583333333343</v>
      </c>
      <c r="B7216">
        <f>3967.89562473917*(3/4)</f>
        <v>2975.9217185543748</v>
      </c>
    </row>
    <row r="7217" spans="1:2" x14ac:dyDescent="0.3">
      <c r="A7217" s="2">
        <v>45958.625</v>
      </c>
      <c r="B7217">
        <f>4047.84277038299*(3/4)</f>
        <v>3035.8820777872425</v>
      </c>
    </row>
    <row r="7218" spans="1:2" x14ac:dyDescent="0.3">
      <c r="A7218" s="2">
        <v>45958.666666666657</v>
      </c>
      <c r="B7218">
        <f>4200.57727968273*(3/4)</f>
        <v>3150.4329597620444</v>
      </c>
    </row>
    <row r="7219" spans="1:2" x14ac:dyDescent="0.3">
      <c r="A7219" s="2">
        <v>45958.708333333343</v>
      </c>
      <c r="B7219">
        <f>4255.32596351691*(3/4)</f>
        <v>3191.4944726376857</v>
      </c>
    </row>
    <row r="7220" spans="1:2" x14ac:dyDescent="0.3">
      <c r="A7220" s="2">
        <v>45958.75</v>
      </c>
      <c r="B7220">
        <f>4135.59701191209*(3/4)</f>
        <v>3101.6977589340668</v>
      </c>
    </row>
    <row r="7221" spans="1:2" x14ac:dyDescent="0.3">
      <c r="A7221" s="2">
        <v>45958.791666666657</v>
      </c>
      <c r="B7221">
        <f>4107.89840956587*(3/4)</f>
        <v>3080.9238071744048</v>
      </c>
    </row>
    <row r="7222" spans="1:2" x14ac:dyDescent="0.3">
      <c r="A7222" s="2">
        <v>45958.833333333343</v>
      </c>
      <c r="B7222">
        <f>4237.97273536792*(3/4)</f>
        <v>3178.4795515259384</v>
      </c>
    </row>
    <row r="7223" spans="1:2" x14ac:dyDescent="0.3">
      <c r="A7223" s="2">
        <v>45958.875</v>
      </c>
      <c r="B7223">
        <f>4241.0155971212*(3/4)</f>
        <v>3180.7616978409005</v>
      </c>
    </row>
    <row r="7224" spans="1:2" x14ac:dyDescent="0.3">
      <c r="A7224" s="2">
        <v>45958.916666666657</v>
      </c>
      <c r="B7224">
        <f>3958.86055889648*(3/4)</f>
        <v>2969.1454191723583</v>
      </c>
    </row>
    <row r="7225" spans="1:2" x14ac:dyDescent="0.3">
      <c r="A7225" s="2">
        <v>45958.958333333343</v>
      </c>
      <c r="B7225">
        <f>3786.46058267743*(3/4)</f>
        <v>2839.845437008074</v>
      </c>
    </row>
    <row r="7226" spans="1:2" x14ac:dyDescent="0.3">
      <c r="A7226" s="2">
        <v>45959</v>
      </c>
      <c r="B7226">
        <f>3792.58827989215*(3/4)</f>
        <v>2844.4412099191095</v>
      </c>
    </row>
    <row r="7227" spans="1:2" x14ac:dyDescent="0.3">
      <c r="A7227" s="2">
        <v>45959.041666666657</v>
      </c>
      <c r="B7227">
        <f>4015.17768438851*(3/4)</f>
        <v>3011.3832632913832</v>
      </c>
    </row>
    <row r="7228" spans="1:2" x14ac:dyDescent="0.3">
      <c r="A7228" s="2">
        <v>45959.083333333343</v>
      </c>
      <c r="B7228">
        <f>3638.83059030066*(3/4)</f>
        <v>2729.1229427254966</v>
      </c>
    </row>
    <row r="7229" spans="1:2" x14ac:dyDescent="0.3">
      <c r="A7229" s="2">
        <v>45959.125</v>
      </c>
      <c r="B7229">
        <f>4065.21758460498*(3/4)</f>
        <v>3048.9131884537355</v>
      </c>
    </row>
    <row r="7230" spans="1:2" x14ac:dyDescent="0.3">
      <c r="A7230" s="2">
        <v>45959.166666666657</v>
      </c>
      <c r="B7230">
        <f>3965.88100822907*(3/4)</f>
        <v>2974.4107561718015</v>
      </c>
    </row>
    <row r="7231" spans="1:2" x14ac:dyDescent="0.3">
      <c r="A7231" s="2">
        <v>45959.208333333343</v>
      </c>
      <c r="B7231">
        <f>3949.70671145353*(3/4)</f>
        <v>2962.2800335901497</v>
      </c>
    </row>
    <row r="7232" spans="1:2" x14ac:dyDescent="0.3">
      <c r="A7232" s="2">
        <v>45959.25</v>
      </c>
      <c r="B7232">
        <f>3654.77545208909*(3/4)</f>
        <v>2741.0815890668159</v>
      </c>
    </row>
    <row r="7233" spans="1:2" x14ac:dyDescent="0.3">
      <c r="A7233" s="2">
        <v>45959.291666666657</v>
      </c>
      <c r="B7233">
        <f>4147.3207112061*(3/4)</f>
        <v>3110.490533404577</v>
      </c>
    </row>
    <row r="7234" spans="1:2" x14ac:dyDescent="0.3">
      <c r="A7234" s="2">
        <v>45959.333333333343</v>
      </c>
      <c r="B7234">
        <f>4118.67436618067*(3/4)</f>
        <v>3089.0057746355001</v>
      </c>
    </row>
    <row r="7235" spans="1:2" x14ac:dyDescent="0.3">
      <c r="A7235" s="2">
        <v>45959.375</v>
      </c>
      <c r="B7235">
        <f>3909.4808538749*(3/4)</f>
        <v>2932.1106404061757</v>
      </c>
    </row>
    <row r="7236" spans="1:2" x14ac:dyDescent="0.3">
      <c r="A7236" s="2">
        <v>45959.416666666657</v>
      </c>
      <c r="B7236">
        <f>3975.54509072989*(3/4)</f>
        <v>2981.658818047415</v>
      </c>
    </row>
    <row r="7237" spans="1:2" x14ac:dyDescent="0.3">
      <c r="A7237" s="2">
        <v>45959.458333333343</v>
      </c>
      <c r="B7237">
        <f>3926.42407712589*(3/4)</f>
        <v>2944.8180578444144</v>
      </c>
    </row>
    <row r="7238" spans="1:2" x14ac:dyDescent="0.3">
      <c r="A7238" s="2">
        <v>45959.5</v>
      </c>
      <c r="B7238">
        <f>4146.87855074719*(3/4)</f>
        <v>3110.158913060392</v>
      </c>
    </row>
    <row r="7239" spans="1:2" x14ac:dyDescent="0.3">
      <c r="A7239" s="2">
        <v>45959.541666666657</v>
      </c>
      <c r="B7239">
        <f>3773.11825544155*(3/4)</f>
        <v>2829.8386915811661</v>
      </c>
    </row>
    <row r="7240" spans="1:2" x14ac:dyDescent="0.3">
      <c r="A7240" s="2">
        <v>45959.583333333343</v>
      </c>
      <c r="B7240">
        <f>3677.76772016688*(3/4)</f>
        <v>2758.3257901251573</v>
      </c>
    </row>
    <row r="7241" spans="1:2" x14ac:dyDescent="0.3">
      <c r="A7241" s="2">
        <v>45959.625</v>
      </c>
      <c r="B7241">
        <f>4104.47042559169*(3/4)</f>
        <v>3078.3528191937703</v>
      </c>
    </row>
    <row r="7242" spans="1:2" x14ac:dyDescent="0.3">
      <c r="A7242" s="2">
        <v>45959.666666666657</v>
      </c>
      <c r="B7242">
        <f>4259.62447233659*(3/4)</f>
        <v>3194.7183542524426</v>
      </c>
    </row>
    <row r="7243" spans="1:2" x14ac:dyDescent="0.3">
      <c r="A7243" s="2">
        <v>45959.708333333343</v>
      </c>
      <c r="B7243">
        <f>3922.99733157745*(3/4)</f>
        <v>2942.247998683089</v>
      </c>
    </row>
    <row r="7244" spans="1:2" x14ac:dyDescent="0.3">
      <c r="A7244" s="2">
        <v>45959.75</v>
      </c>
      <c r="B7244">
        <f>4304.26953065291*(3/4)</f>
        <v>3228.2021479896821</v>
      </c>
    </row>
    <row r="7245" spans="1:2" x14ac:dyDescent="0.3">
      <c r="A7245" s="2">
        <v>45959.791666666657</v>
      </c>
      <c r="B7245">
        <f>4284.16166454387*(3/4)</f>
        <v>3213.1212484079042</v>
      </c>
    </row>
    <row r="7246" spans="1:2" x14ac:dyDescent="0.3">
      <c r="A7246" s="2">
        <v>45959.833333333343</v>
      </c>
      <c r="B7246">
        <f>4386.26752671866*(3/4)</f>
        <v>3289.700645038994</v>
      </c>
    </row>
    <row r="7247" spans="1:2" x14ac:dyDescent="0.3">
      <c r="A7247" s="2">
        <v>45959.875</v>
      </c>
      <c r="B7247">
        <f>4121.85893816012*(3/4)</f>
        <v>3091.3942036200879</v>
      </c>
    </row>
    <row r="7248" spans="1:2" x14ac:dyDescent="0.3">
      <c r="A7248" s="2">
        <v>45959.916666666657</v>
      </c>
      <c r="B7248">
        <f>3863.90007927896*(3/4)</f>
        <v>2897.9250594592213</v>
      </c>
    </row>
    <row r="7249" spans="1:2" x14ac:dyDescent="0.3">
      <c r="A7249" s="2">
        <v>45959.958333333343</v>
      </c>
      <c r="B7249">
        <f>3944.09459494488*(3/4)</f>
        <v>2958.0709462086616</v>
      </c>
    </row>
    <row r="7250" spans="1:2" x14ac:dyDescent="0.3">
      <c r="A7250" s="2">
        <v>45960</v>
      </c>
      <c r="B7250">
        <f>3835.2502645839*(3/4)</f>
        <v>2876.4376984379269</v>
      </c>
    </row>
    <row r="7251" spans="1:2" x14ac:dyDescent="0.3">
      <c r="A7251" s="2">
        <v>45960.041666666657</v>
      </c>
      <c r="B7251">
        <f>3856.46673779093*(3/4)</f>
        <v>2892.3500533431943</v>
      </c>
    </row>
    <row r="7252" spans="1:2" x14ac:dyDescent="0.3">
      <c r="A7252" s="2">
        <v>45960.083333333343</v>
      </c>
      <c r="B7252">
        <f>3836.42556105932*(3/4)</f>
        <v>2877.3191707944925</v>
      </c>
    </row>
    <row r="7253" spans="1:2" x14ac:dyDescent="0.3">
      <c r="A7253" s="2">
        <v>45960.125</v>
      </c>
      <c r="B7253">
        <f>3801.1848491774*(3/4)</f>
        <v>2850.8886368830467</v>
      </c>
    </row>
    <row r="7254" spans="1:2" x14ac:dyDescent="0.3">
      <c r="A7254" s="2">
        <v>45960.166666666657</v>
      </c>
      <c r="B7254">
        <f>3709.32432519916*(3/4)</f>
        <v>2781.9932438993724</v>
      </c>
    </row>
    <row r="7255" spans="1:2" x14ac:dyDescent="0.3">
      <c r="A7255" s="2">
        <v>45960.208333333343</v>
      </c>
      <c r="B7255">
        <f>3829.55064878345*(3/4)</f>
        <v>2872.1629865875866</v>
      </c>
    </row>
    <row r="7256" spans="1:2" x14ac:dyDescent="0.3">
      <c r="A7256" s="2">
        <v>45960.25</v>
      </c>
      <c r="B7256">
        <f>3655.88059582064*(3/4)</f>
        <v>2741.9104468654791</v>
      </c>
    </row>
    <row r="7257" spans="1:2" x14ac:dyDescent="0.3">
      <c r="A7257" s="2">
        <v>45960.291666666657</v>
      </c>
      <c r="B7257">
        <f>4085.97714113907*(3/4)</f>
        <v>3064.4828558543009</v>
      </c>
    </row>
    <row r="7258" spans="1:2" x14ac:dyDescent="0.3">
      <c r="A7258" s="2">
        <v>45960.333333333343</v>
      </c>
      <c r="B7258">
        <f>4084.16325243291*(3/4)</f>
        <v>3063.1224393246812</v>
      </c>
    </row>
    <row r="7259" spans="1:2" x14ac:dyDescent="0.3">
      <c r="A7259" s="2">
        <v>45960.375</v>
      </c>
      <c r="B7259">
        <f>4004.04573320633*(3/4)</f>
        <v>3003.0342999047484</v>
      </c>
    </row>
    <row r="7260" spans="1:2" x14ac:dyDescent="0.3">
      <c r="A7260" s="2">
        <v>45960.416666666657</v>
      </c>
      <c r="B7260">
        <f>4228.71254367683*(3/4)</f>
        <v>3171.5344077576233</v>
      </c>
    </row>
    <row r="7261" spans="1:2" x14ac:dyDescent="0.3">
      <c r="A7261" s="2">
        <v>45960.458333333343</v>
      </c>
      <c r="B7261">
        <f>3997.01143368424*(3/4)</f>
        <v>2997.758575263183</v>
      </c>
    </row>
    <row r="7262" spans="1:2" x14ac:dyDescent="0.3">
      <c r="A7262" s="2">
        <v>45960.5</v>
      </c>
      <c r="B7262">
        <f>4212.46544827764*(3/4)</f>
        <v>3159.3490862082308</v>
      </c>
    </row>
    <row r="7263" spans="1:2" x14ac:dyDescent="0.3">
      <c r="A7263" s="2">
        <v>45960.541666666657</v>
      </c>
      <c r="B7263">
        <f>4202.07628388177*(3/4)</f>
        <v>3151.5572129113243</v>
      </c>
    </row>
    <row r="7264" spans="1:2" x14ac:dyDescent="0.3">
      <c r="A7264" s="2">
        <v>45960.583333333343</v>
      </c>
      <c r="B7264">
        <f>3693.3959162546*(3/4)</f>
        <v>2770.0469371909498</v>
      </c>
    </row>
    <row r="7265" spans="1:2" x14ac:dyDescent="0.3">
      <c r="A7265" s="2">
        <v>45960.625</v>
      </c>
      <c r="B7265">
        <f>3941.42949175281*(3/4)</f>
        <v>2956.0721188146044</v>
      </c>
    </row>
    <row r="7266" spans="1:2" x14ac:dyDescent="0.3">
      <c r="A7266" s="2">
        <v>45960.666666666657</v>
      </c>
      <c r="B7266">
        <f>3931.68039390108*(3/4)</f>
        <v>2948.7602954258082</v>
      </c>
    </row>
    <row r="7267" spans="1:2" x14ac:dyDescent="0.3">
      <c r="A7267" s="2">
        <v>45960.708333333343</v>
      </c>
      <c r="B7267">
        <f>4188.51085728945*(3/4)</f>
        <v>3141.3831429670836</v>
      </c>
    </row>
    <row r="7268" spans="1:2" x14ac:dyDescent="0.3">
      <c r="A7268" s="2">
        <v>45960.75</v>
      </c>
      <c r="B7268">
        <f>3905.43940611981*(3/4)</f>
        <v>2929.0795545898573</v>
      </c>
    </row>
    <row r="7269" spans="1:2" x14ac:dyDescent="0.3">
      <c r="A7269" s="2">
        <v>45960.791666666657</v>
      </c>
      <c r="B7269">
        <f>4141.39256897273*(3/4)</f>
        <v>3106.044426729547</v>
      </c>
    </row>
    <row r="7270" spans="1:2" x14ac:dyDescent="0.3">
      <c r="A7270" s="2">
        <v>45960.833333333343</v>
      </c>
      <c r="B7270">
        <f>4614.73678375946*(3/4)</f>
        <v>3461.0525878195972</v>
      </c>
    </row>
    <row r="7271" spans="1:2" x14ac:dyDescent="0.3">
      <c r="A7271" s="2">
        <v>45960.875</v>
      </c>
      <c r="B7271">
        <f>3838.95907462103*(3/4)</f>
        <v>2879.2193059657752</v>
      </c>
    </row>
    <row r="7272" spans="1:2" x14ac:dyDescent="0.3">
      <c r="A7272" s="2">
        <v>45960.916666666657</v>
      </c>
      <c r="B7272">
        <f>3774.36788419008*(3/4)</f>
        <v>2830.775913142561</v>
      </c>
    </row>
    <row r="7273" spans="1:2" x14ac:dyDescent="0.3">
      <c r="A7273" s="2">
        <v>45960.958333333343</v>
      </c>
      <c r="B7273">
        <f>3798.70201108453*(3/4)</f>
        <v>2849.0265083133982</v>
      </c>
    </row>
    <row r="7274" spans="1:2" x14ac:dyDescent="0.3">
      <c r="A7274" s="2">
        <v>45961</v>
      </c>
      <c r="B7274">
        <f>4073.83501869498*(3/4)</f>
        <v>3055.3762640212358</v>
      </c>
    </row>
    <row r="7275" spans="1:2" x14ac:dyDescent="0.3">
      <c r="A7275" s="2">
        <v>45961.041666666657</v>
      </c>
      <c r="B7275">
        <f>3700.90393254332*(3/4)</f>
        <v>2775.6779494074931</v>
      </c>
    </row>
    <row r="7276" spans="1:2" x14ac:dyDescent="0.3">
      <c r="A7276" s="2">
        <v>45961.083333333343</v>
      </c>
      <c r="B7276">
        <f>4081.72177964488*(3/4)</f>
        <v>3061.2913347336594</v>
      </c>
    </row>
    <row r="7277" spans="1:2" x14ac:dyDescent="0.3">
      <c r="A7277" s="2">
        <v>45961.125</v>
      </c>
      <c r="B7277">
        <f>3665.55344860932*(3/4)</f>
        <v>2749.1650864569915</v>
      </c>
    </row>
    <row r="7278" spans="1:2" x14ac:dyDescent="0.3">
      <c r="A7278" s="2">
        <v>45961.166666666657</v>
      </c>
      <c r="B7278">
        <f>4021.45945451999*(3/4)</f>
        <v>3016.0945908899939</v>
      </c>
    </row>
    <row r="7279" spans="1:2" x14ac:dyDescent="0.3">
      <c r="A7279" s="2">
        <v>45961.208333333343</v>
      </c>
      <c r="B7279">
        <f>3755.23730068297*(3/4)</f>
        <v>2816.4279755122307</v>
      </c>
    </row>
    <row r="7280" spans="1:2" x14ac:dyDescent="0.3">
      <c r="A7280" s="2">
        <v>45961.25</v>
      </c>
      <c r="B7280">
        <f>4040.079380351*(3/4)</f>
        <v>3030.0595352632481</v>
      </c>
    </row>
    <row r="7281" spans="1:2" x14ac:dyDescent="0.3">
      <c r="A7281" s="2">
        <v>45961.291666666657</v>
      </c>
      <c r="B7281">
        <f>4210.38083612114*(3/4)</f>
        <v>3157.7856270908524</v>
      </c>
    </row>
    <row r="7282" spans="1:2" x14ac:dyDescent="0.3">
      <c r="A7282" s="2">
        <v>45961.333333333343</v>
      </c>
      <c r="B7282">
        <f>4153.81321592774*(3/4)</f>
        <v>3115.3599119458049</v>
      </c>
    </row>
    <row r="7283" spans="1:2" x14ac:dyDescent="0.3">
      <c r="A7283" s="2">
        <v>45961.375</v>
      </c>
      <c r="B7283">
        <f>4198.67501329054*(3/4)</f>
        <v>3149.0062599679036</v>
      </c>
    </row>
    <row r="7284" spans="1:2" x14ac:dyDescent="0.3">
      <c r="A7284" s="2">
        <v>45961.416666666657</v>
      </c>
      <c r="B7284">
        <f>4000.56199733139*(3/4)</f>
        <v>3000.4214979985454</v>
      </c>
    </row>
    <row r="7285" spans="1:2" x14ac:dyDescent="0.3">
      <c r="A7285" s="2">
        <v>45961.458333333343</v>
      </c>
      <c r="B7285">
        <f>4034.94302256588*(3/4)</f>
        <v>3026.2072669244085</v>
      </c>
    </row>
    <row r="7286" spans="1:2" x14ac:dyDescent="0.3">
      <c r="A7286" s="2">
        <v>45961.5</v>
      </c>
      <c r="B7286">
        <f>3682.89291899344*(3/4)</f>
        <v>2762.1696892450827</v>
      </c>
    </row>
    <row r="7287" spans="1:2" x14ac:dyDescent="0.3">
      <c r="A7287" s="2">
        <v>45961.541666666657</v>
      </c>
      <c r="B7287">
        <f>4132.4910869556*(3/4)</f>
        <v>3099.3683152167023</v>
      </c>
    </row>
    <row r="7288" spans="1:2" x14ac:dyDescent="0.3">
      <c r="A7288" s="2">
        <v>45961.583333333343</v>
      </c>
      <c r="B7288">
        <f>3913.64966850581*(3/4)</f>
        <v>2935.2372513793539</v>
      </c>
    </row>
    <row r="7289" spans="1:2" x14ac:dyDescent="0.3">
      <c r="A7289" s="2">
        <v>45961.625</v>
      </c>
      <c r="B7289">
        <f>4026.50902278441*(3/4)</f>
        <v>3019.8817670883091</v>
      </c>
    </row>
    <row r="7290" spans="1:2" x14ac:dyDescent="0.3">
      <c r="A7290" s="2">
        <v>45961.666666666657</v>
      </c>
      <c r="B7290">
        <f>3811.98262173651*(3/4)</f>
        <v>2858.9869663023842</v>
      </c>
    </row>
    <row r="7291" spans="1:2" x14ac:dyDescent="0.3">
      <c r="A7291" s="2">
        <v>45961.708333333343</v>
      </c>
      <c r="B7291">
        <f>3984.90749186845*(3/4)</f>
        <v>2988.6806189013346</v>
      </c>
    </row>
    <row r="7292" spans="1:2" x14ac:dyDescent="0.3">
      <c r="A7292" s="2">
        <v>45961.75</v>
      </c>
      <c r="B7292">
        <f>3918.39955136591*(3/4)</f>
        <v>2938.7996635244294</v>
      </c>
    </row>
    <row r="7293" spans="1:2" x14ac:dyDescent="0.3">
      <c r="A7293" s="2">
        <v>45961.791666666657</v>
      </c>
      <c r="B7293">
        <f>4022.01735683885*(3/4)</f>
        <v>3016.5130176291414</v>
      </c>
    </row>
    <row r="7294" spans="1:2" x14ac:dyDescent="0.3">
      <c r="A7294" s="2">
        <v>45961.833333333343</v>
      </c>
      <c r="B7294">
        <f>3965.36375177179*(3/4)</f>
        <v>2974.0228138288439</v>
      </c>
    </row>
    <row r="7295" spans="1:2" x14ac:dyDescent="0.3">
      <c r="A7295" s="2">
        <v>45961.875</v>
      </c>
      <c r="B7295">
        <f>3886.95274439979*(3/4)</f>
        <v>2915.214558299841</v>
      </c>
    </row>
    <row r="7296" spans="1:2" x14ac:dyDescent="0.3">
      <c r="A7296" s="2">
        <v>45961.916666666657</v>
      </c>
      <c r="B7296">
        <f>3789.10775905135*(3/4)</f>
        <v>2841.8308192885088</v>
      </c>
    </row>
    <row r="7297" spans="1:2" x14ac:dyDescent="0.3">
      <c r="A7297" s="2">
        <v>45961.958333333343</v>
      </c>
      <c r="B7297">
        <f>3953.05537709651*(3/4)</f>
        <v>2964.7915328223826</v>
      </c>
    </row>
    <row r="7298" spans="1:2" x14ac:dyDescent="0.3">
      <c r="A7298" s="2">
        <v>45962</v>
      </c>
      <c r="B7298">
        <f>4145.94679255811*(3/4)</f>
        <v>3109.4600944185854</v>
      </c>
    </row>
    <row r="7299" spans="1:2" x14ac:dyDescent="0.3">
      <c r="A7299" s="2">
        <v>45962.041666666657</v>
      </c>
      <c r="B7299">
        <f>4076.65366791181*(3/4)</f>
        <v>3057.4902509338599</v>
      </c>
    </row>
    <row r="7300" spans="1:2" x14ac:dyDescent="0.3">
      <c r="A7300" s="2">
        <v>45962.083333333343</v>
      </c>
      <c r="B7300">
        <f>4034.05211121431*(3/4)</f>
        <v>3025.5390834107325</v>
      </c>
    </row>
    <row r="7301" spans="1:2" x14ac:dyDescent="0.3">
      <c r="A7301" s="2">
        <v>45962.125</v>
      </c>
      <c r="B7301">
        <f>3790.5934153911*(3/4)</f>
        <v>2842.9450615433266</v>
      </c>
    </row>
    <row r="7302" spans="1:2" x14ac:dyDescent="0.3">
      <c r="A7302" s="2">
        <v>45962.166666666657</v>
      </c>
      <c r="B7302">
        <f>3652.27852492522*(3/4)</f>
        <v>2739.2088936939122</v>
      </c>
    </row>
    <row r="7303" spans="1:2" x14ac:dyDescent="0.3">
      <c r="A7303" s="2">
        <v>45962.208333333343</v>
      </c>
      <c r="B7303">
        <f>3810.07839134699*(3/4)</f>
        <v>2857.5587935102458</v>
      </c>
    </row>
    <row r="7304" spans="1:2" x14ac:dyDescent="0.3">
      <c r="A7304" s="2">
        <v>45962.25</v>
      </c>
      <c r="B7304">
        <f>3571.94171384039*(3/4)</f>
        <v>2678.95628538029</v>
      </c>
    </row>
    <row r="7305" spans="1:2" x14ac:dyDescent="0.3">
      <c r="A7305" s="2">
        <v>45962.291666666657</v>
      </c>
      <c r="B7305">
        <f>4239.99888464527*(3/4)</f>
        <v>3179.9991634839557</v>
      </c>
    </row>
    <row r="7306" spans="1:2" x14ac:dyDescent="0.3">
      <c r="A7306" s="2">
        <v>45962.333333333343</v>
      </c>
      <c r="B7306">
        <f>4003.68213280593*(3/4)</f>
        <v>3002.7615996044469</v>
      </c>
    </row>
    <row r="7307" spans="1:2" x14ac:dyDescent="0.3">
      <c r="A7307" s="2">
        <v>45962.375</v>
      </c>
      <c r="B7307">
        <f>3921.42036857471*(3/4)</f>
        <v>2941.0652764310289</v>
      </c>
    </row>
    <row r="7308" spans="1:2" x14ac:dyDescent="0.3">
      <c r="A7308" s="2">
        <v>45962.416666666657</v>
      </c>
      <c r="B7308">
        <f>3919.67902503971*(3/4)</f>
        <v>2939.7592687797842</v>
      </c>
    </row>
    <row r="7309" spans="1:2" x14ac:dyDescent="0.3">
      <c r="A7309" s="2">
        <v>45962.458333333343</v>
      </c>
      <c r="B7309">
        <f>4165.12445736351*(3/4)</f>
        <v>3123.8433430226314</v>
      </c>
    </row>
    <row r="7310" spans="1:2" x14ac:dyDescent="0.3">
      <c r="A7310" s="2">
        <v>45962.5</v>
      </c>
      <c r="B7310">
        <f>4278.25540525554*(3/4)</f>
        <v>3208.6915539416541</v>
      </c>
    </row>
    <row r="7311" spans="1:2" x14ac:dyDescent="0.3">
      <c r="A7311" s="2">
        <v>45962.541666666657</v>
      </c>
      <c r="B7311">
        <f>4086.21018925184*(3/4)</f>
        <v>3064.6576419388794</v>
      </c>
    </row>
    <row r="7312" spans="1:2" x14ac:dyDescent="0.3">
      <c r="A7312" s="2">
        <v>45962.583333333343</v>
      </c>
      <c r="B7312">
        <f>3946.15258693185*(3/4)</f>
        <v>2959.6144401988913</v>
      </c>
    </row>
    <row r="7313" spans="1:2" x14ac:dyDescent="0.3">
      <c r="A7313" s="2">
        <v>45962.625</v>
      </c>
      <c r="B7313">
        <f>3835.0321395378*(3/4)</f>
        <v>2876.2741046533465</v>
      </c>
    </row>
    <row r="7314" spans="1:2" x14ac:dyDescent="0.3">
      <c r="A7314" s="2">
        <v>45962.666666666657</v>
      </c>
      <c r="B7314">
        <f>3997.73904376888*(3/4)</f>
        <v>2998.3042828266575</v>
      </c>
    </row>
    <row r="7315" spans="1:2" x14ac:dyDescent="0.3">
      <c r="A7315" s="2">
        <v>45962.708333333343</v>
      </c>
      <c r="B7315">
        <f>4011.72186706922*(3/4)</f>
        <v>3008.791400301915</v>
      </c>
    </row>
    <row r="7316" spans="1:2" x14ac:dyDescent="0.3">
      <c r="A7316" s="2">
        <v>45962.75</v>
      </c>
      <c r="B7316">
        <f>4029.54761235526*(3/4)</f>
        <v>3022.1607092664485</v>
      </c>
    </row>
    <row r="7317" spans="1:2" x14ac:dyDescent="0.3">
      <c r="A7317" s="2">
        <v>45962.791666666657</v>
      </c>
      <c r="B7317">
        <f>4151.78583281695*(3/4)</f>
        <v>3113.8393746127113</v>
      </c>
    </row>
    <row r="7318" spans="1:2" x14ac:dyDescent="0.3">
      <c r="A7318" s="2">
        <v>45962.833333333343</v>
      </c>
      <c r="B7318">
        <f>4008.51176804136*(3/4)</f>
        <v>3006.3838260310195</v>
      </c>
    </row>
    <row r="7319" spans="1:2" x14ac:dyDescent="0.3">
      <c r="A7319" s="2">
        <v>45962.875</v>
      </c>
      <c r="B7319">
        <f>4049.75538056844*(3/4)</f>
        <v>3037.3165354263301</v>
      </c>
    </row>
    <row r="7320" spans="1:2" x14ac:dyDescent="0.3">
      <c r="A7320" s="2">
        <v>45962.916666666657</v>
      </c>
      <c r="B7320">
        <f>3853.95574133269*(3/4)</f>
        <v>2890.4668059995201</v>
      </c>
    </row>
    <row r="7321" spans="1:2" x14ac:dyDescent="0.3">
      <c r="A7321" s="2">
        <v>45962.958333333343</v>
      </c>
      <c r="B7321">
        <f>3912.92094995712*(3/4)</f>
        <v>2934.6907124678364</v>
      </c>
    </row>
    <row r="7322" spans="1:2" x14ac:dyDescent="0.3">
      <c r="A7322" s="2">
        <v>45963</v>
      </c>
      <c r="B7322">
        <f>4071.0017369016*(3/4)</f>
        <v>3053.2513026762008</v>
      </c>
    </row>
    <row r="7323" spans="1:2" x14ac:dyDescent="0.3">
      <c r="A7323" s="2">
        <v>45963.041666666657</v>
      </c>
      <c r="B7323">
        <f>4144.086678368*(3/4)</f>
        <v>3108.0650087759977</v>
      </c>
    </row>
    <row r="7324" spans="1:2" x14ac:dyDescent="0.3">
      <c r="A7324" s="2">
        <v>45963.083333333343</v>
      </c>
      <c r="B7324">
        <f>3726.63244115516*(3/4)</f>
        <v>2794.9743308663701</v>
      </c>
    </row>
    <row r="7325" spans="1:2" x14ac:dyDescent="0.3">
      <c r="A7325" s="2">
        <v>45963.125</v>
      </c>
      <c r="B7325">
        <f>3860.06801956294*(3/4)</f>
        <v>2895.0510146722027</v>
      </c>
    </row>
    <row r="7326" spans="1:2" x14ac:dyDescent="0.3">
      <c r="A7326" s="2">
        <v>45963.166666666657</v>
      </c>
      <c r="B7326">
        <f>4069.86447605176*(3/4)</f>
        <v>3052.39835703882</v>
      </c>
    </row>
    <row r="7327" spans="1:2" x14ac:dyDescent="0.3">
      <c r="A7327" s="2">
        <v>45963.208333333343</v>
      </c>
      <c r="B7327">
        <f>3834.94223405252*(3/4)</f>
        <v>2876.2066755393917</v>
      </c>
    </row>
    <row r="7328" spans="1:2" x14ac:dyDescent="0.3">
      <c r="A7328" s="2">
        <v>45963.25</v>
      </c>
      <c r="B7328">
        <f>4000.11627165575*(3/4)</f>
        <v>3000.0872037418148</v>
      </c>
    </row>
    <row r="7329" spans="1:2" x14ac:dyDescent="0.3">
      <c r="A7329" s="2">
        <v>45963.291666666657</v>
      </c>
      <c r="B7329">
        <f>3884.61594062623*(3/4)</f>
        <v>2913.4619554696737</v>
      </c>
    </row>
    <row r="7330" spans="1:2" x14ac:dyDescent="0.3">
      <c r="A7330" s="2">
        <v>45963.333333333343</v>
      </c>
      <c r="B7330">
        <f>3236.44876718689*(3/4)</f>
        <v>2427.3365753901689</v>
      </c>
    </row>
    <row r="7331" spans="1:2" x14ac:dyDescent="0.3">
      <c r="A7331" s="2">
        <v>45963.375</v>
      </c>
      <c r="B7331">
        <f>3271.42311497196*(3/4)</f>
        <v>2453.5673362289717</v>
      </c>
    </row>
    <row r="7332" spans="1:2" x14ac:dyDescent="0.3">
      <c r="A7332" s="2">
        <v>45963.416666666657</v>
      </c>
      <c r="B7332">
        <f>2861.2550322054*(3/4)</f>
        <v>2145.9412741540486</v>
      </c>
    </row>
    <row r="7333" spans="1:2" x14ac:dyDescent="0.3">
      <c r="A7333" s="2">
        <v>45963.458333333343</v>
      </c>
      <c r="B7333">
        <f>3141.08500027315*(3/4)</f>
        <v>2355.8137502048662</v>
      </c>
    </row>
    <row r="7334" spans="1:2" x14ac:dyDescent="0.3">
      <c r="A7334" s="2">
        <v>45963.5</v>
      </c>
      <c r="B7334">
        <f>3198.35446019846*(3/4)</f>
        <v>2398.7658451488437</v>
      </c>
    </row>
    <row r="7335" spans="1:2" x14ac:dyDescent="0.3">
      <c r="A7335" s="2">
        <v>45963.541666666657</v>
      </c>
      <c r="B7335">
        <f>3441.6424448764*(3/4)</f>
        <v>2581.2318336572998</v>
      </c>
    </row>
    <row r="7336" spans="1:2" x14ac:dyDescent="0.3">
      <c r="A7336" s="2">
        <v>45963.583333333343</v>
      </c>
      <c r="B7336">
        <f>2722.04195124895*(3/4)</f>
        <v>2041.531463436711</v>
      </c>
    </row>
    <row r="7337" spans="1:2" x14ac:dyDescent="0.3">
      <c r="A7337" s="2">
        <v>45963.625</v>
      </c>
      <c r="B7337">
        <f>3451.45638113896*(3/4)</f>
        <v>2588.592285854219</v>
      </c>
    </row>
    <row r="7338" spans="1:2" x14ac:dyDescent="0.3">
      <c r="A7338" s="2">
        <v>45963.666666666657</v>
      </c>
      <c r="B7338">
        <f>3132.11949920685*(3/4)</f>
        <v>2349.0896244051391</v>
      </c>
    </row>
    <row r="7339" spans="1:2" x14ac:dyDescent="0.3">
      <c r="A7339" s="2">
        <v>45963.708333333343</v>
      </c>
      <c r="B7339">
        <f>4096.54594891712*(3/4)</f>
        <v>3072.4094616878433</v>
      </c>
    </row>
    <row r="7340" spans="1:2" x14ac:dyDescent="0.3">
      <c r="A7340" s="2">
        <v>45963.75</v>
      </c>
      <c r="B7340">
        <f>3892.32351335238*(3/4)</f>
        <v>2919.242635014285</v>
      </c>
    </row>
    <row r="7341" spans="1:2" x14ac:dyDescent="0.3">
      <c r="A7341" s="2">
        <v>45963.791666666657</v>
      </c>
      <c r="B7341">
        <f>3333.24615823418*(3/4)</f>
        <v>2499.9346186756343</v>
      </c>
    </row>
    <row r="7342" spans="1:2" x14ac:dyDescent="0.3">
      <c r="A7342" s="2">
        <v>45963.833333333343</v>
      </c>
      <c r="B7342">
        <f>4013.8314850029*(3/4)</f>
        <v>3010.3736137521719</v>
      </c>
    </row>
    <row r="7343" spans="1:2" x14ac:dyDescent="0.3">
      <c r="A7343" s="2">
        <v>45963.875</v>
      </c>
      <c r="B7343">
        <f>4018.83806983749*(3/4)</f>
        <v>3014.1285523781166</v>
      </c>
    </row>
    <row r="7344" spans="1:2" x14ac:dyDescent="0.3">
      <c r="A7344" s="2">
        <v>45963.916666666657</v>
      </c>
      <c r="B7344">
        <f>3867.18634596204*(3/4)</f>
        <v>2900.3897594715281</v>
      </c>
    </row>
    <row r="7345" spans="1:2" x14ac:dyDescent="0.3">
      <c r="A7345" s="2">
        <v>45963.958333333343</v>
      </c>
      <c r="B7345">
        <f>3710.99862012749*(3/4)</f>
        <v>2783.2489650956181</v>
      </c>
    </row>
    <row r="7346" spans="1:2" x14ac:dyDescent="0.3">
      <c r="A7346" s="2">
        <v>45964</v>
      </c>
      <c r="B7346">
        <f>4191.32413976003*(3/4)</f>
        <v>3143.4931048200256</v>
      </c>
    </row>
    <row r="7347" spans="1:2" x14ac:dyDescent="0.3">
      <c r="A7347" s="2">
        <v>45964.041666666657</v>
      </c>
      <c r="B7347">
        <f>4106.48944591564*(3/4)</f>
        <v>3079.8670844367298</v>
      </c>
    </row>
    <row r="7348" spans="1:2" x14ac:dyDescent="0.3">
      <c r="A7348" s="2">
        <v>45964.083333333343</v>
      </c>
      <c r="B7348">
        <f>4095.74395790857*(3/4)</f>
        <v>3071.807968431428</v>
      </c>
    </row>
    <row r="7349" spans="1:2" x14ac:dyDescent="0.3">
      <c r="A7349" s="2">
        <v>45964.125</v>
      </c>
      <c r="B7349">
        <f>3920.54667559963*(3/4)</f>
        <v>2940.4100066997203</v>
      </c>
    </row>
    <row r="7350" spans="1:2" x14ac:dyDescent="0.3">
      <c r="A7350" s="2">
        <v>45964.166666666657</v>
      </c>
      <c r="B7350">
        <f>4178.21142351015*(3/4)</f>
        <v>3133.6585676326113</v>
      </c>
    </row>
    <row r="7351" spans="1:2" x14ac:dyDescent="0.3">
      <c r="A7351" s="2">
        <v>45964.208333333343</v>
      </c>
      <c r="B7351">
        <f>4010.93822647489*(3/4)</f>
        <v>3008.2036698561637</v>
      </c>
    </row>
    <row r="7352" spans="1:2" x14ac:dyDescent="0.3">
      <c r="A7352" s="2">
        <v>45964.25</v>
      </c>
      <c r="B7352">
        <f>4035.96078339674*(3/4)</f>
        <v>3026.9705875475534</v>
      </c>
    </row>
    <row r="7353" spans="1:2" x14ac:dyDescent="0.3">
      <c r="A7353" s="2">
        <v>45964.291666666657</v>
      </c>
      <c r="B7353">
        <f>4200.05093633083*(3/4)</f>
        <v>3150.0382022481213</v>
      </c>
    </row>
    <row r="7354" spans="1:2" x14ac:dyDescent="0.3">
      <c r="A7354" s="2">
        <v>45964.333333333343</v>
      </c>
      <c r="B7354">
        <f>4182.89931696457*(3/4)</f>
        <v>3137.174487723425</v>
      </c>
    </row>
    <row r="7355" spans="1:2" x14ac:dyDescent="0.3">
      <c r="A7355" s="2">
        <v>45964.375</v>
      </c>
      <c r="B7355">
        <f>3733.75135652937*(3/4)</f>
        <v>2800.3135173970254</v>
      </c>
    </row>
    <row r="7356" spans="1:2" x14ac:dyDescent="0.3">
      <c r="A7356" s="2">
        <v>45964.416666666657</v>
      </c>
      <c r="B7356">
        <f>4044.91994203754*(3/4)</f>
        <v>3033.6899565281574</v>
      </c>
    </row>
    <row r="7357" spans="1:2" x14ac:dyDescent="0.3">
      <c r="A7357" s="2">
        <v>45964.458333333343</v>
      </c>
      <c r="B7357">
        <f>3991.99638672277*(3/4)</f>
        <v>2993.9972900420744</v>
      </c>
    </row>
    <row r="7358" spans="1:2" x14ac:dyDescent="0.3">
      <c r="A7358" s="2">
        <v>45964.5</v>
      </c>
      <c r="B7358">
        <f>4044.49618186201*(3/4)</f>
        <v>3033.3721363965042</v>
      </c>
    </row>
    <row r="7359" spans="1:2" x14ac:dyDescent="0.3">
      <c r="A7359" s="2">
        <v>45964.541666666657</v>
      </c>
      <c r="B7359">
        <f>4310.20255520214*(3/4)</f>
        <v>3232.651916401604</v>
      </c>
    </row>
    <row r="7360" spans="1:2" x14ac:dyDescent="0.3">
      <c r="A7360" s="2">
        <v>45964.583333333343</v>
      </c>
      <c r="B7360">
        <f>3638.01651645943*(3/4)</f>
        <v>2728.5123873445755</v>
      </c>
    </row>
    <row r="7361" spans="1:2" x14ac:dyDescent="0.3">
      <c r="A7361" s="2">
        <v>45964.625</v>
      </c>
      <c r="B7361">
        <f>4051.51807675943*(3/4)</f>
        <v>3038.6385575695704</v>
      </c>
    </row>
    <row r="7362" spans="1:2" x14ac:dyDescent="0.3">
      <c r="A7362" s="2">
        <v>45964.666666666657</v>
      </c>
      <c r="B7362">
        <f>3742.1178175062*(3/4)</f>
        <v>2806.5883631296488</v>
      </c>
    </row>
    <row r="7363" spans="1:2" x14ac:dyDescent="0.3">
      <c r="A7363" s="2">
        <v>45964.708333333343</v>
      </c>
      <c r="B7363">
        <f>4408.77463233371*(3/4)</f>
        <v>3306.5809742502834</v>
      </c>
    </row>
    <row r="7364" spans="1:2" x14ac:dyDescent="0.3">
      <c r="A7364" s="2">
        <v>45964.75</v>
      </c>
      <c r="B7364">
        <f>3782.77267021801*(3/4)</f>
        <v>2837.079502663506</v>
      </c>
    </row>
    <row r="7365" spans="1:2" x14ac:dyDescent="0.3">
      <c r="A7365" s="2">
        <v>45964.791666666657</v>
      </c>
      <c r="B7365">
        <f>4137.92755943392*(3/4)</f>
        <v>3103.4456695754416</v>
      </c>
    </row>
    <row r="7366" spans="1:2" x14ac:dyDescent="0.3">
      <c r="A7366" s="2">
        <v>45964.833333333343</v>
      </c>
      <c r="B7366">
        <f>3884.69103565506*(3/4)</f>
        <v>2913.5182767412944</v>
      </c>
    </row>
    <row r="7367" spans="1:2" x14ac:dyDescent="0.3">
      <c r="A7367" s="2">
        <v>45964.875</v>
      </c>
      <c r="B7367">
        <f>3925.2623152166*(3/4)</f>
        <v>2943.9467364124503</v>
      </c>
    </row>
    <row r="7368" spans="1:2" x14ac:dyDescent="0.3">
      <c r="A7368" s="2">
        <v>45964.916666666657</v>
      </c>
      <c r="B7368">
        <f>3677.54805012926*(3/4)</f>
        <v>2758.1610375969485</v>
      </c>
    </row>
    <row r="7369" spans="1:2" x14ac:dyDescent="0.3">
      <c r="A7369" s="2">
        <v>45964.958333333343</v>
      </c>
      <c r="B7369">
        <f>3769.99891914849*(3/4)</f>
        <v>2827.4991893613678</v>
      </c>
    </row>
    <row r="7370" spans="1:2" x14ac:dyDescent="0.3">
      <c r="A7370" s="2">
        <v>45965</v>
      </c>
      <c r="B7370">
        <f>3810.94380814976*(3/4)</f>
        <v>2858.2078561123221</v>
      </c>
    </row>
    <row r="7371" spans="1:2" x14ac:dyDescent="0.3">
      <c r="A7371" s="2">
        <v>45965.041666666657</v>
      </c>
      <c r="B7371">
        <f>3966.49994103886*(3/4)</f>
        <v>2974.874955779148</v>
      </c>
    </row>
    <row r="7372" spans="1:2" x14ac:dyDescent="0.3">
      <c r="A7372" s="2">
        <v>45965.083333333343</v>
      </c>
      <c r="B7372">
        <f>4102.12407627927*(3/4)</f>
        <v>3076.5930572094549</v>
      </c>
    </row>
    <row r="7373" spans="1:2" x14ac:dyDescent="0.3">
      <c r="A7373" s="2">
        <v>45965.125</v>
      </c>
      <c r="B7373">
        <f>3734.08491972448*(3/4)</f>
        <v>2800.5636897933591</v>
      </c>
    </row>
    <row r="7374" spans="1:2" x14ac:dyDescent="0.3">
      <c r="A7374" s="2">
        <v>45965.166666666657</v>
      </c>
      <c r="B7374">
        <f>4102.44749227736*(3/4)</f>
        <v>3076.8356192080191</v>
      </c>
    </row>
    <row r="7375" spans="1:2" x14ac:dyDescent="0.3">
      <c r="A7375" s="2">
        <v>45965.208333333343</v>
      </c>
      <c r="B7375">
        <f>3927.74780156523*(3/4)</f>
        <v>2945.8108511739188</v>
      </c>
    </row>
    <row r="7376" spans="1:2" x14ac:dyDescent="0.3">
      <c r="A7376" s="2">
        <v>45965.25</v>
      </c>
      <c r="B7376">
        <f>3823.03813885741*(3/4)</f>
        <v>2867.2786041430568</v>
      </c>
    </row>
    <row r="7377" spans="1:2" x14ac:dyDescent="0.3">
      <c r="A7377" s="2">
        <v>45965.291666666657</v>
      </c>
      <c r="B7377">
        <f>4159.78379770078*(3/4)</f>
        <v>3119.8378482755838</v>
      </c>
    </row>
    <row r="7378" spans="1:2" x14ac:dyDescent="0.3">
      <c r="A7378" s="2">
        <v>45965.333333333343</v>
      </c>
      <c r="B7378">
        <f>3633.8942470017*(3/4)</f>
        <v>2725.4206852512757</v>
      </c>
    </row>
    <row r="7379" spans="1:2" x14ac:dyDescent="0.3">
      <c r="A7379" s="2">
        <v>45965.375</v>
      </c>
      <c r="B7379">
        <f>3821.22858300361*(3/4)</f>
        <v>2865.9214372527076</v>
      </c>
    </row>
    <row r="7380" spans="1:2" x14ac:dyDescent="0.3">
      <c r="A7380" s="2">
        <v>45965.416666666657</v>
      </c>
      <c r="B7380">
        <f>4037.78135340905*(3/4)</f>
        <v>3028.3360150567887</v>
      </c>
    </row>
    <row r="7381" spans="1:2" x14ac:dyDescent="0.3">
      <c r="A7381" s="2">
        <v>45965.458333333343</v>
      </c>
      <c r="B7381">
        <f>4161.4317340125*(3/4)</f>
        <v>3121.0738005093749</v>
      </c>
    </row>
    <row r="7382" spans="1:2" x14ac:dyDescent="0.3">
      <c r="A7382" s="2">
        <v>45965.5</v>
      </c>
      <c r="B7382">
        <f>4382.10923893852*(3/4)</f>
        <v>3286.5819292038923</v>
      </c>
    </row>
    <row r="7383" spans="1:2" x14ac:dyDescent="0.3">
      <c r="A7383" s="2">
        <v>45965.541666666657</v>
      </c>
      <c r="B7383">
        <f>4170.15070710606*(3/4)</f>
        <v>3127.6130303295431</v>
      </c>
    </row>
    <row r="7384" spans="1:2" x14ac:dyDescent="0.3">
      <c r="A7384" s="2">
        <v>45965.583333333343</v>
      </c>
      <c r="B7384">
        <f>3961.74042847065*(3/4)</f>
        <v>2971.3053213529861</v>
      </c>
    </row>
    <row r="7385" spans="1:2" x14ac:dyDescent="0.3">
      <c r="A7385" s="2">
        <v>45965.625</v>
      </c>
      <c r="B7385">
        <f>3738.04422767875*(3/4)</f>
        <v>2803.5331707590612</v>
      </c>
    </row>
    <row r="7386" spans="1:2" x14ac:dyDescent="0.3">
      <c r="A7386" s="2">
        <v>45965.666666666657</v>
      </c>
      <c r="B7386">
        <f>3968.65890653439*(3/4)</f>
        <v>2976.4941799007938</v>
      </c>
    </row>
    <row r="7387" spans="1:2" x14ac:dyDescent="0.3">
      <c r="A7387" s="2">
        <v>45965.708333333343</v>
      </c>
      <c r="B7387">
        <f>4021.02200901944*(3/4)</f>
        <v>3015.7665067645821</v>
      </c>
    </row>
    <row r="7388" spans="1:2" x14ac:dyDescent="0.3">
      <c r="A7388" s="2">
        <v>45965.75</v>
      </c>
      <c r="B7388">
        <f>3919.56539902315*(3/4)</f>
        <v>2939.6740492673603</v>
      </c>
    </row>
    <row r="7389" spans="1:2" x14ac:dyDescent="0.3">
      <c r="A7389" s="2">
        <v>45965.791666666657</v>
      </c>
      <c r="B7389">
        <f>4162.67774231653*(3/4)</f>
        <v>3122.0083067374012</v>
      </c>
    </row>
    <row r="7390" spans="1:2" x14ac:dyDescent="0.3">
      <c r="A7390" s="2">
        <v>45965.833333333343</v>
      </c>
      <c r="B7390">
        <f>4456.9027790025*(3/4)</f>
        <v>3342.6770842518781</v>
      </c>
    </row>
    <row r="7391" spans="1:2" x14ac:dyDescent="0.3">
      <c r="A7391" s="2">
        <v>45965.875</v>
      </c>
      <c r="B7391">
        <f>4047.51336857563*(3/4)</f>
        <v>3035.6350264317193</v>
      </c>
    </row>
    <row r="7392" spans="1:2" x14ac:dyDescent="0.3">
      <c r="A7392" s="2">
        <v>45965.916666666657</v>
      </c>
      <c r="B7392">
        <f>3833.9786717397*(3/4)</f>
        <v>2875.4840038047728</v>
      </c>
    </row>
    <row r="7393" spans="1:2" x14ac:dyDescent="0.3">
      <c r="A7393" s="2">
        <v>45965.958333333343</v>
      </c>
      <c r="B7393">
        <f>3901.08817044046*(3/4)</f>
        <v>2925.8161278303451</v>
      </c>
    </row>
    <row r="7394" spans="1:2" x14ac:dyDescent="0.3">
      <c r="A7394" s="2">
        <v>45966</v>
      </c>
      <c r="B7394">
        <f>4196.9666460586*(3/4)</f>
        <v>3147.7249845439501</v>
      </c>
    </row>
    <row r="7395" spans="1:2" x14ac:dyDescent="0.3">
      <c r="A7395" s="2">
        <v>45966.041666666657</v>
      </c>
      <c r="B7395">
        <f>4093.45289372049*(3/4)</f>
        <v>3070.0896702903674</v>
      </c>
    </row>
    <row r="7396" spans="1:2" x14ac:dyDescent="0.3">
      <c r="A7396" s="2">
        <v>45966.083333333343</v>
      </c>
      <c r="B7396">
        <f>4112.02853048472*(3/4)</f>
        <v>3084.0213978635375</v>
      </c>
    </row>
    <row r="7397" spans="1:2" x14ac:dyDescent="0.3">
      <c r="A7397" s="2">
        <v>45966.125</v>
      </c>
      <c r="B7397">
        <f>3798.04438868463*(3/4)</f>
        <v>2848.5332915134727</v>
      </c>
    </row>
    <row r="7398" spans="1:2" x14ac:dyDescent="0.3">
      <c r="A7398" s="2">
        <v>45966.166666666657</v>
      </c>
      <c r="B7398">
        <f>3935.9986010305*(3/4)</f>
        <v>2951.9989507728715</v>
      </c>
    </row>
    <row r="7399" spans="1:2" x14ac:dyDescent="0.3">
      <c r="A7399" s="2">
        <v>45966.208333333343</v>
      </c>
      <c r="B7399">
        <f>4108.68872293229*(3/4)</f>
        <v>3081.5165421992187</v>
      </c>
    </row>
    <row r="7400" spans="1:2" x14ac:dyDescent="0.3">
      <c r="A7400" s="2">
        <v>45966.25</v>
      </c>
      <c r="B7400">
        <f>3891.78643096159*(3/4)</f>
        <v>2918.8398232211894</v>
      </c>
    </row>
    <row r="7401" spans="1:2" x14ac:dyDescent="0.3">
      <c r="A7401" s="2">
        <v>45966.291666666657</v>
      </c>
      <c r="B7401">
        <f>4309.71679542541*(3/4)</f>
        <v>3232.2875965690596</v>
      </c>
    </row>
    <row r="7402" spans="1:2" x14ac:dyDescent="0.3">
      <c r="A7402" s="2">
        <v>45966.333333333343</v>
      </c>
      <c r="B7402">
        <f>4325.41257049878*(3/4)</f>
        <v>3244.0594278740882</v>
      </c>
    </row>
    <row r="7403" spans="1:2" x14ac:dyDescent="0.3">
      <c r="A7403" s="2">
        <v>45966.375</v>
      </c>
      <c r="B7403">
        <f>4216.58427884611*(3/4)</f>
        <v>3162.4382091345824</v>
      </c>
    </row>
    <row r="7404" spans="1:2" x14ac:dyDescent="0.3">
      <c r="A7404" s="2">
        <v>45966.416666666657</v>
      </c>
      <c r="B7404">
        <f>4084.60968078494*(3/4)</f>
        <v>3063.4572605887074</v>
      </c>
    </row>
    <row r="7405" spans="1:2" x14ac:dyDescent="0.3">
      <c r="A7405" s="2">
        <v>45966.458333333343</v>
      </c>
      <c r="B7405">
        <f>4094.70771895223*(3/4)</f>
        <v>3071.0307892141695</v>
      </c>
    </row>
    <row r="7406" spans="1:2" x14ac:dyDescent="0.3">
      <c r="A7406" s="2">
        <v>45966.5</v>
      </c>
      <c r="B7406">
        <f>2949.063310901*(3/4)</f>
        <v>2211.7974831757469</v>
      </c>
    </row>
    <row r="7407" spans="1:2" x14ac:dyDescent="0.3">
      <c r="A7407" s="2">
        <v>45966.541666666657</v>
      </c>
      <c r="B7407">
        <f>4204.47368827295*(3/4)</f>
        <v>3153.355266204715</v>
      </c>
    </row>
    <row r="7408" spans="1:2" x14ac:dyDescent="0.3">
      <c r="A7408" s="2">
        <v>45966.583333333343</v>
      </c>
      <c r="B7408">
        <f>3963.77297745622*(3/4)</f>
        <v>2972.8297330921628</v>
      </c>
    </row>
    <row r="7409" spans="1:2" x14ac:dyDescent="0.3">
      <c r="A7409" s="2">
        <v>45966.625</v>
      </c>
      <c r="B7409">
        <f>4022.55414773612*(3/4)</f>
        <v>3016.9156108020893</v>
      </c>
    </row>
    <row r="7410" spans="1:2" x14ac:dyDescent="0.3">
      <c r="A7410" s="2">
        <v>45966.666666666657</v>
      </c>
      <c r="B7410">
        <f>4372.42045914728*(3/4)</f>
        <v>3279.3153443604588</v>
      </c>
    </row>
    <row r="7411" spans="1:2" x14ac:dyDescent="0.3">
      <c r="A7411" s="2">
        <v>45966.708333333343</v>
      </c>
      <c r="B7411">
        <f>4291.9065959851*(3/4)</f>
        <v>3218.9299469888274</v>
      </c>
    </row>
    <row r="7412" spans="1:2" x14ac:dyDescent="0.3">
      <c r="A7412" s="2">
        <v>45966.75</v>
      </c>
      <c r="B7412">
        <f>3995.66916154946*(3/4)</f>
        <v>2996.7518711620942</v>
      </c>
    </row>
    <row r="7413" spans="1:2" x14ac:dyDescent="0.3">
      <c r="A7413" s="2">
        <v>45966.791666666657</v>
      </c>
      <c r="B7413">
        <f>3991.22785551434*(3/4)</f>
        <v>2993.4208916357575</v>
      </c>
    </row>
    <row r="7414" spans="1:2" x14ac:dyDescent="0.3">
      <c r="A7414" s="2">
        <v>45966.833333333343</v>
      </c>
      <c r="B7414">
        <f>4046.91018956591*(3/4)</f>
        <v>3035.1826421744308</v>
      </c>
    </row>
    <row r="7415" spans="1:2" x14ac:dyDescent="0.3">
      <c r="A7415" s="2">
        <v>45966.875</v>
      </c>
      <c r="B7415">
        <f>3794.21442382055*(3/4)</f>
        <v>2845.6608178654133</v>
      </c>
    </row>
    <row r="7416" spans="1:2" x14ac:dyDescent="0.3">
      <c r="A7416" s="2">
        <v>45966.916666666657</v>
      </c>
      <c r="B7416">
        <f>3827.58287432942*(3/4)</f>
        <v>2870.6871557470672</v>
      </c>
    </row>
    <row r="7417" spans="1:2" x14ac:dyDescent="0.3">
      <c r="A7417" s="2">
        <v>45966.958333333343</v>
      </c>
      <c r="B7417">
        <f>3757.04556200067*(3/4)</f>
        <v>2817.7841715004988</v>
      </c>
    </row>
    <row r="7418" spans="1:2" x14ac:dyDescent="0.3">
      <c r="A7418" s="2">
        <v>45967</v>
      </c>
      <c r="B7418">
        <f>4105.57282218641*(3/4)</f>
        <v>3079.179616639808</v>
      </c>
    </row>
    <row r="7419" spans="1:2" x14ac:dyDescent="0.3">
      <c r="A7419" s="2">
        <v>45967.041666666657</v>
      </c>
      <c r="B7419">
        <f>3782.03010613997*(3/4)</f>
        <v>2836.5225796049776</v>
      </c>
    </row>
    <row r="7420" spans="1:2" x14ac:dyDescent="0.3">
      <c r="A7420" s="2">
        <v>45967.083333333343</v>
      </c>
      <c r="B7420">
        <f>4073.34165686374*(3/4)</f>
        <v>3055.006242647803</v>
      </c>
    </row>
    <row r="7421" spans="1:2" x14ac:dyDescent="0.3">
      <c r="A7421" s="2">
        <v>45967.125</v>
      </c>
      <c r="B7421">
        <f>3732.3493274524*(3/4)</f>
        <v>2799.2619955893015</v>
      </c>
    </row>
    <row r="7422" spans="1:2" x14ac:dyDescent="0.3">
      <c r="A7422" s="2">
        <v>45967.166666666657</v>
      </c>
      <c r="B7422">
        <f>3645.07574614017*(3/4)</f>
        <v>2733.8068096051306</v>
      </c>
    </row>
    <row r="7423" spans="1:2" x14ac:dyDescent="0.3">
      <c r="A7423" s="2">
        <v>45967.208333333343</v>
      </c>
      <c r="B7423">
        <f>3726.20417183499*(3/4)</f>
        <v>2794.6531288762435</v>
      </c>
    </row>
    <row r="7424" spans="1:2" x14ac:dyDescent="0.3">
      <c r="A7424" s="2">
        <v>45967.25</v>
      </c>
      <c r="B7424">
        <f>4004.64574062133*(3/4)</f>
        <v>3003.4843054659955</v>
      </c>
    </row>
    <row r="7425" spans="1:2" x14ac:dyDescent="0.3">
      <c r="A7425" s="2">
        <v>45967.291666666657</v>
      </c>
      <c r="B7425">
        <f>4287.44398297677*(3/4)</f>
        <v>3215.5829872325767</v>
      </c>
    </row>
    <row r="7426" spans="1:2" x14ac:dyDescent="0.3">
      <c r="A7426" s="2">
        <v>45967.333333333343</v>
      </c>
      <c r="B7426">
        <f>4055.74196209791*(3/4)</f>
        <v>3041.8064715734317</v>
      </c>
    </row>
    <row r="7427" spans="1:2" x14ac:dyDescent="0.3">
      <c r="A7427" s="2">
        <v>45967.375</v>
      </c>
      <c r="B7427">
        <f>4127.97488937296*(3/4)</f>
        <v>3095.9811670297222</v>
      </c>
    </row>
    <row r="7428" spans="1:2" x14ac:dyDescent="0.3">
      <c r="A7428" s="2">
        <v>45967.416666666657</v>
      </c>
      <c r="B7428">
        <f>4232.93328641169*(3/4)</f>
        <v>3174.6999648087694</v>
      </c>
    </row>
    <row r="7429" spans="1:2" x14ac:dyDescent="0.3">
      <c r="A7429" s="2">
        <v>45967.458333333343</v>
      </c>
      <c r="B7429">
        <f>3945.07880840201*(3/4)</f>
        <v>2958.8091063015108</v>
      </c>
    </row>
    <row r="7430" spans="1:2" x14ac:dyDescent="0.3">
      <c r="A7430" s="2">
        <v>45967.5</v>
      </c>
      <c r="B7430">
        <f>4023.05333273381*(3/4)</f>
        <v>3017.2899995503599</v>
      </c>
    </row>
    <row r="7431" spans="1:2" x14ac:dyDescent="0.3">
      <c r="A7431" s="2">
        <v>45967.541666666657</v>
      </c>
      <c r="B7431">
        <f>4195.58351348924*(3/4)</f>
        <v>3146.6876351169303</v>
      </c>
    </row>
    <row r="7432" spans="1:2" x14ac:dyDescent="0.3">
      <c r="A7432" s="2">
        <v>45967.583333333343</v>
      </c>
      <c r="B7432">
        <f>3701.43028321398*(3/4)</f>
        <v>2776.0727124104819</v>
      </c>
    </row>
    <row r="7433" spans="1:2" x14ac:dyDescent="0.3">
      <c r="A7433" s="2">
        <v>45967.625</v>
      </c>
      <c r="B7433">
        <f>4236.01374682064*(3/4)</f>
        <v>3177.0103101154773</v>
      </c>
    </row>
    <row r="7434" spans="1:2" x14ac:dyDescent="0.3">
      <c r="A7434" s="2">
        <v>45967.666666666657</v>
      </c>
      <c r="B7434">
        <f>4052.07655907557*(3/4)</f>
        <v>3039.0574193066777</v>
      </c>
    </row>
    <row r="7435" spans="1:2" x14ac:dyDescent="0.3">
      <c r="A7435" s="2">
        <v>45967.708333333343</v>
      </c>
      <c r="B7435">
        <f>3966.14423011332*(3/4)</f>
        <v>2974.6081725849922</v>
      </c>
    </row>
    <row r="7436" spans="1:2" x14ac:dyDescent="0.3">
      <c r="A7436" s="2">
        <v>45967.75</v>
      </c>
      <c r="B7436">
        <f>4119.55290165706*(3/4)</f>
        <v>3089.6646762427977</v>
      </c>
    </row>
    <row r="7437" spans="1:2" x14ac:dyDescent="0.3">
      <c r="A7437" s="2">
        <v>45967.791666666657</v>
      </c>
      <c r="B7437">
        <f>3887.11383882725*(3/4)</f>
        <v>2915.3353791204358</v>
      </c>
    </row>
    <row r="7438" spans="1:2" x14ac:dyDescent="0.3">
      <c r="A7438" s="2">
        <v>45967.833333333343</v>
      </c>
      <c r="B7438">
        <f>4055.38741509471*(3/4)</f>
        <v>3041.5405613210351</v>
      </c>
    </row>
    <row r="7439" spans="1:2" x14ac:dyDescent="0.3">
      <c r="A7439" s="2">
        <v>45967.875</v>
      </c>
      <c r="B7439">
        <f>4134.0173217253*(3/4)</f>
        <v>3100.5129912939733</v>
      </c>
    </row>
    <row r="7440" spans="1:2" x14ac:dyDescent="0.3">
      <c r="A7440" s="2">
        <v>45967.916666666657</v>
      </c>
      <c r="B7440">
        <f>3797.97864854636*(3/4)</f>
        <v>2848.4839864097694</v>
      </c>
    </row>
    <row r="7441" spans="1:2" x14ac:dyDescent="0.3">
      <c r="A7441" s="2">
        <v>45967.958333333343</v>
      </c>
      <c r="B7441">
        <f>3798.64253266494*(3/4)</f>
        <v>2848.9818994987013</v>
      </c>
    </row>
    <row r="7442" spans="1:2" x14ac:dyDescent="0.3">
      <c r="A7442" s="2">
        <v>45968</v>
      </c>
      <c r="B7442">
        <f>4311.65503685474*(3/4)</f>
        <v>3233.7412776410583</v>
      </c>
    </row>
    <row r="7443" spans="1:2" x14ac:dyDescent="0.3">
      <c r="A7443" s="2">
        <v>45968.041666666657</v>
      </c>
      <c r="B7443">
        <f>4084.11663556737*(3/4)</f>
        <v>3063.0874766755314</v>
      </c>
    </row>
    <row r="7444" spans="1:2" x14ac:dyDescent="0.3">
      <c r="A7444" s="2">
        <v>45968.083333333343</v>
      </c>
      <c r="B7444">
        <f>3895.27293260964*(3/4)</f>
        <v>2921.4546994572283</v>
      </c>
    </row>
    <row r="7445" spans="1:2" x14ac:dyDescent="0.3">
      <c r="A7445" s="2">
        <v>45968.125</v>
      </c>
      <c r="B7445">
        <f>3940.77544079598*(3/4)</f>
        <v>2955.5815805969814</v>
      </c>
    </row>
    <row r="7446" spans="1:2" x14ac:dyDescent="0.3">
      <c r="A7446" s="2">
        <v>45968.166666666657</v>
      </c>
      <c r="B7446">
        <f>4182.8434821659*(3/4)</f>
        <v>3137.1326116244218</v>
      </c>
    </row>
    <row r="7447" spans="1:2" x14ac:dyDescent="0.3">
      <c r="A7447" s="2">
        <v>45968.208333333343</v>
      </c>
      <c r="B7447">
        <f>3903.60122855463*(3/4)</f>
        <v>2927.7009214159743</v>
      </c>
    </row>
    <row r="7448" spans="1:2" x14ac:dyDescent="0.3">
      <c r="A7448" s="2">
        <v>45968.25</v>
      </c>
      <c r="B7448">
        <f>4005.3256536945*(3/4)</f>
        <v>3003.994240270878</v>
      </c>
    </row>
    <row r="7449" spans="1:2" x14ac:dyDescent="0.3">
      <c r="A7449" s="2">
        <v>45968.291666666657</v>
      </c>
      <c r="B7449">
        <f>4426.00171868125*(3/4)</f>
        <v>3319.5012890109365</v>
      </c>
    </row>
    <row r="7450" spans="1:2" x14ac:dyDescent="0.3">
      <c r="A7450" s="2">
        <v>45968.333333333343</v>
      </c>
      <c r="B7450">
        <f>4038.84967775233*(3/4)</f>
        <v>3029.1372583142452</v>
      </c>
    </row>
    <row r="7451" spans="1:2" x14ac:dyDescent="0.3">
      <c r="A7451" s="2">
        <v>45968.375</v>
      </c>
      <c r="B7451">
        <f>4046.36167166818*(3/4)</f>
        <v>3034.7712537511388</v>
      </c>
    </row>
    <row r="7452" spans="1:2" x14ac:dyDescent="0.3">
      <c r="A7452" s="2">
        <v>45968.416666666657</v>
      </c>
      <c r="B7452">
        <f>3945.90838563606*(3/4)</f>
        <v>2959.4312892270473</v>
      </c>
    </row>
    <row r="7453" spans="1:2" x14ac:dyDescent="0.3">
      <c r="A7453" s="2">
        <v>45968.458333333343</v>
      </c>
      <c r="B7453">
        <f>4173.91178068672*(3/4)</f>
        <v>3130.4338355150426</v>
      </c>
    </row>
    <row r="7454" spans="1:2" x14ac:dyDescent="0.3">
      <c r="A7454" s="2">
        <v>45968.5</v>
      </c>
      <c r="B7454">
        <f>3991.97136558364*(3/4)</f>
        <v>2993.9785241877298</v>
      </c>
    </row>
    <row r="7455" spans="1:2" x14ac:dyDescent="0.3">
      <c r="A7455" s="2">
        <v>45968.541666666657</v>
      </c>
      <c r="B7455">
        <f>3854.89260748421*(3/4)</f>
        <v>2891.1694556131583</v>
      </c>
    </row>
    <row r="7456" spans="1:2" x14ac:dyDescent="0.3">
      <c r="A7456" s="2">
        <v>45968.583333333343</v>
      </c>
      <c r="B7456">
        <f>3897.56169136363*(3/4)</f>
        <v>2923.1712685227258</v>
      </c>
    </row>
    <row r="7457" spans="1:2" x14ac:dyDescent="0.3">
      <c r="A7457" s="2">
        <v>45968.625</v>
      </c>
      <c r="B7457">
        <f>3885.55598179873*(3/4)</f>
        <v>2914.1669863490474</v>
      </c>
    </row>
    <row r="7458" spans="1:2" x14ac:dyDescent="0.3">
      <c r="A7458" s="2">
        <v>45968.666666666657</v>
      </c>
      <c r="B7458">
        <f>4032.27507423089*(3/4)</f>
        <v>3024.2063056731713</v>
      </c>
    </row>
    <row r="7459" spans="1:2" x14ac:dyDescent="0.3">
      <c r="A7459" s="2">
        <v>45968.708333333343</v>
      </c>
      <c r="B7459">
        <f>4006.19284413357*(3/4)</f>
        <v>3004.6446331001798</v>
      </c>
    </row>
    <row r="7460" spans="1:2" x14ac:dyDescent="0.3">
      <c r="A7460" s="2">
        <v>45968.75</v>
      </c>
      <c r="B7460">
        <f>4069.1429598364*(3/4)</f>
        <v>3051.8572198772977</v>
      </c>
    </row>
    <row r="7461" spans="1:2" x14ac:dyDescent="0.3">
      <c r="A7461" s="2">
        <v>45968.791666666657</v>
      </c>
      <c r="B7461">
        <f>3813.05284776098*(3/4)</f>
        <v>2859.7896358207336</v>
      </c>
    </row>
    <row r="7462" spans="1:2" x14ac:dyDescent="0.3">
      <c r="A7462" s="2">
        <v>45968.833333333343</v>
      </c>
      <c r="B7462">
        <f>4127.09773644821*(3/4)</f>
        <v>3095.3233023361554</v>
      </c>
    </row>
    <row r="7463" spans="1:2" x14ac:dyDescent="0.3">
      <c r="A7463" s="2">
        <v>45968.875</v>
      </c>
      <c r="B7463">
        <f>3837.241836583*(3/4)</f>
        <v>2877.9313774372499</v>
      </c>
    </row>
    <row r="7464" spans="1:2" x14ac:dyDescent="0.3">
      <c r="A7464" s="2">
        <v>45968.916666666657</v>
      </c>
      <c r="B7464">
        <f>3903.82549567191*(3/4)</f>
        <v>2927.8691217539304</v>
      </c>
    </row>
    <row r="7465" spans="1:2" x14ac:dyDescent="0.3">
      <c r="A7465" s="2">
        <v>45968.958333333343</v>
      </c>
      <c r="B7465">
        <f>4058.69259345246*(3/4)</f>
        <v>3044.0194450893428</v>
      </c>
    </row>
    <row r="7466" spans="1:2" x14ac:dyDescent="0.3">
      <c r="A7466" s="2">
        <v>45969</v>
      </c>
      <c r="B7466">
        <f>3857.55358467199*(3/4)</f>
        <v>2893.1651885039923</v>
      </c>
    </row>
    <row r="7467" spans="1:2" x14ac:dyDescent="0.3">
      <c r="A7467" s="2">
        <v>45969.041666666657</v>
      </c>
      <c r="B7467">
        <f>3812.36234127153*(3/4)</f>
        <v>2859.2717559536459</v>
      </c>
    </row>
    <row r="7468" spans="1:2" x14ac:dyDescent="0.3">
      <c r="A7468" s="2">
        <v>45969.083333333343</v>
      </c>
      <c r="B7468">
        <f>3860.06369479081*(3/4)</f>
        <v>2895.0477710931082</v>
      </c>
    </row>
    <row r="7469" spans="1:2" x14ac:dyDescent="0.3">
      <c r="A7469" s="2">
        <v>45969.125</v>
      </c>
      <c r="B7469">
        <f>3656.27987266799*(3/4)</f>
        <v>2742.2099045009909</v>
      </c>
    </row>
    <row r="7470" spans="1:2" x14ac:dyDescent="0.3">
      <c r="A7470" s="2">
        <v>45969.166666666657</v>
      </c>
      <c r="B7470">
        <f>3899.77327519326*(3/4)</f>
        <v>2924.8299563949486</v>
      </c>
    </row>
    <row r="7471" spans="1:2" x14ac:dyDescent="0.3">
      <c r="A7471" s="2">
        <v>45969.208333333343</v>
      </c>
      <c r="B7471">
        <f>3915.88945231995*(3/4)</f>
        <v>2936.9170892399625</v>
      </c>
    </row>
    <row r="7472" spans="1:2" x14ac:dyDescent="0.3">
      <c r="A7472" s="2">
        <v>45969.25</v>
      </c>
      <c r="B7472">
        <f>3886.56947783894*(3/4)</f>
        <v>2914.9271083792028</v>
      </c>
    </row>
    <row r="7473" spans="1:2" x14ac:dyDescent="0.3">
      <c r="A7473" s="2">
        <v>45969.291666666657</v>
      </c>
      <c r="B7473">
        <f>4031.70809211045*(3/4)</f>
        <v>3023.7810690828364</v>
      </c>
    </row>
    <row r="7474" spans="1:2" x14ac:dyDescent="0.3">
      <c r="A7474" s="2">
        <v>45969.333333333343</v>
      </c>
      <c r="B7474">
        <f>4240.08040574069*(3/4)</f>
        <v>3180.0603043055207</v>
      </c>
    </row>
    <row r="7475" spans="1:2" x14ac:dyDescent="0.3">
      <c r="A7475" s="2">
        <v>45969.375</v>
      </c>
      <c r="B7475">
        <f>4303.22463447575*(3/4)</f>
        <v>3227.4184758568122</v>
      </c>
    </row>
    <row r="7476" spans="1:2" x14ac:dyDescent="0.3">
      <c r="A7476" s="2">
        <v>45969.416666666657</v>
      </c>
      <c r="B7476">
        <f>4006.77839162255*(3/4)</f>
        <v>3005.0837937169135</v>
      </c>
    </row>
    <row r="7477" spans="1:2" x14ac:dyDescent="0.3">
      <c r="A7477" s="2">
        <v>45969.458333333343</v>
      </c>
      <c r="B7477">
        <f>4055.47745655039*(3/4)</f>
        <v>3041.6080924127923</v>
      </c>
    </row>
    <row r="7478" spans="1:2" x14ac:dyDescent="0.3">
      <c r="A7478" s="2">
        <v>45969.5</v>
      </c>
      <c r="B7478">
        <f>4556.79572652374*(3/4)</f>
        <v>3417.5967948928023</v>
      </c>
    </row>
    <row r="7479" spans="1:2" x14ac:dyDescent="0.3">
      <c r="A7479" s="2">
        <v>45969.541666666657</v>
      </c>
      <c r="B7479">
        <f>4054.95742649942*(3/4)</f>
        <v>3041.2180698745688</v>
      </c>
    </row>
    <row r="7480" spans="1:2" x14ac:dyDescent="0.3">
      <c r="A7480" s="2">
        <v>45969.583333333343</v>
      </c>
      <c r="B7480">
        <f>3989.3784949582*(3/4)</f>
        <v>2992.0338712186463</v>
      </c>
    </row>
    <row r="7481" spans="1:2" x14ac:dyDescent="0.3">
      <c r="A7481" s="2">
        <v>45969.625</v>
      </c>
      <c r="B7481">
        <f>3983.06984886422*(3/4)</f>
        <v>2987.3023866481626</v>
      </c>
    </row>
    <row r="7482" spans="1:2" x14ac:dyDescent="0.3">
      <c r="A7482" s="2">
        <v>45969.666666666657</v>
      </c>
      <c r="B7482">
        <f>3983.08129031705*(3/4)</f>
        <v>2987.3109677377897</v>
      </c>
    </row>
    <row r="7483" spans="1:2" x14ac:dyDescent="0.3">
      <c r="A7483" s="2">
        <v>45969.708333333343</v>
      </c>
      <c r="B7483">
        <f>4139.81334947077*(3/4)</f>
        <v>3104.8600121030768</v>
      </c>
    </row>
    <row r="7484" spans="1:2" x14ac:dyDescent="0.3">
      <c r="A7484" s="2">
        <v>45969.75</v>
      </c>
      <c r="B7484">
        <f>3893.3568925126*(3/4)</f>
        <v>2920.0176693844483</v>
      </c>
    </row>
    <row r="7485" spans="1:2" x14ac:dyDescent="0.3">
      <c r="A7485" s="2">
        <v>45969.791666666657</v>
      </c>
      <c r="B7485">
        <f>3998.46531324991*(3/4)</f>
        <v>2998.8489849374332</v>
      </c>
    </row>
    <row r="7486" spans="1:2" x14ac:dyDescent="0.3">
      <c r="A7486" s="2">
        <v>45969.833333333343</v>
      </c>
      <c r="B7486">
        <f>4078.83412437255*(3/4)</f>
        <v>3059.1255932794124</v>
      </c>
    </row>
    <row r="7487" spans="1:2" x14ac:dyDescent="0.3">
      <c r="A7487" s="2">
        <v>45969.875</v>
      </c>
      <c r="B7487">
        <f>4062.81840914879*(3/4)</f>
        <v>3047.1138068615946</v>
      </c>
    </row>
    <row r="7488" spans="1:2" x14ac:dyDescent="0.3">
      <c r="A7488" s="2">
        <v>45969.916666666657</v>
      </c>
      <c r="B7488">
        <f>3589.12651465109*(3/4)</f>
        <v>2691.8448859883138</v>
      </c>
    </row>
    <row r="7489" spans="1:2" x14ac:dyDescent="0.3">
      <c r="A7489" s="2">
        <v>45969.958333333343</v>
      </c>
      <c r="B7489">
        <f>3831.43554029242*(3/4)</f>
        <v>2873.5766552193186</v>
      </c>
    </row>
    <row r="7490" spans="1:2" x14ac:dyDescent="0.3">
      <c r="A7490" s="2">
        <v>45970</v>
      </c>
      <c r="B7490">
        <f>3692.44304892175*(3/4)</f>
        <v>2769.332286691314</v>
      </c>
    </row>
    <row r="7491" spans="1:2" x14ac:dyDescent="0.3">
      <c r="A7491" s="2">
        <v>45970.041666666657</v>
      </c>
      <c r="B7491">
        <f>4018.59000974129*(3/4)</f>
        <v>3013.9425073059647</v>
      </c>
    </row>
    <row r="7492" spans="1:2" x14ac:dyDescent="0.3">
      <c r="A7492" s="2">
        <v>45970.083333333343</v>
      </c>
      <c r="B7492">
        <f>3843.00495194462*(3/4)</f>
        <v>2882.2537139584656</v>
      </c>
    </row>
    <row r="7493" spans="1:2" x14ac:dyDescent="0.3">
      <c r="A7493" s="2">
        <v>45970.125</v>
      </c>
      <c r="B7493">
        <f>3953.98172414746*(3/4)</f>
        <v>2965.4862931105927</v>
      </c>
    </row>
    <row r="7494" spans="1:2" x14ac:dyDescent="0.3">
      <c r="A7494" s="2">
        <v>45970.166666666657</v>
      </c>
      <c r="B7494">
        <f>3923.97927807419*(3/4)</f>
        <v>2942.9844585556439</v>
      </c>
    </row>
    <row r="7495" spans="1:2" x14ac:dyDescent="0.3">
      <c r="A7495" s="2">
        <v>45970.208333333343</v>
      </c>
      <c r="B7495">
        <f>3924.88740359362*(3/4)</f>
        <v>2943.6655526952127</v>
      </c>
    </row>
    <row r="7496" spans="1:2" x14ac:dyDescent="0.3">
      <c r="A7496" s="2">
        <v>45970.25</v>
      </c>
      <c r="B7496">
        <f>3848.81423471679*(3/4)</f>
        <v>2886.6106760375924</v>
      </c>
    </row>
    <row r="7497" spans="1:2" x14ac:dyDescent="0.3">
      <c r="A7497" s="2">
        <v>45970.291666666657</v>
      </c>
      <c r="B7497">
        <f>3838.38754802558*(3/4)</f>
        <v>2878.7906610191822</v>
      </c>
    </row>
    <row r="7498" spans="1:2" x14ac:dyDescent="0.3">
      <c r="A7498" s="2">
        <v>45970.333333333343</v>
      </c>
      <c r="B7498">
        <f>2829.52458308713*(3/4)</f>
        <v>2122.1434373153506</v>
      </c>
    </row>
    <row r="7499" spans="1:2" x14ac:dyDescent="0.3">
      <c r="A7499" s="2">
        <v>45970.375</v>
      </c>
      <c r="B7499">
        <f>3135.06935466552*(3/4)</f>
        <v>2351.302015999137</v>
      </c>
    </row>
    <row r="7500" spans="1:2" x14ac:dyDescent="0.3">
      <c r="A7500" s="2">
        <v>45970.416666666657</v>
      </c>
      <c r="B7500">
        <f>3025.58347253046*(3/4)</f>
        <v>2269.1876043978427</v>
      </c>
    </row>
    <row r="7501" spans="1:2" x14ac:dyDescent="0.3">
      <c r="A7501" s="2">
        <v>45970.458333333343</v>
      </c>
      <c r="B7501">
        <f>3040.34016957638*(3/4)</f>
        <v>2280.2551271822872</v>
      </c>
    </row>
    <row r="7502" spans="1:2" x14ac:dyDescent="0.3">
      <c r="A7502" s="2">
        <v>45970.5</v>
      </c>
      <c r="B7502">
        <f>2865.09525860782*(3/4)</f>
        <v>2148.821443955866</v>
      </c>
    </row>
    <row r="7503" spans="1:2" x14ac:dyDescent="0.3">
      <c r="A7503" s="2">
        <v>45970.541666666657</v>
      </c>
      <c r="B7503">
        <f>3012.99738611871*(3/4)</f>
        <v>2259.7480395890302</v>
      </c>
    </row>
    <row r="7504" spans="1:2" x14ac:dyDescent="0.3">
      <c r="A7504" s="2">
        <v>45970.583333333343</v>
      </c>
      <c r="B7504">
        <f>3123.91211698291*(3/4)</f>
        <v>2342.9340877371833</v>
      </c>
    </row>
    <row r="7505" spans="1:2" x14ac:dyDescent="0.3">
      <c r="A7505" s="2">
        <v>45970.625</v>
      </c>
      <c r="B7505">
        <f>3292.81923208542*(3/4)</f>
        <v>2469.6144240640665</v>
      </c>
    </row>
    <row r="7506" spans="1:2" x14ac:dyDescent="0.3">
      <c r="A7506" s="2">
        <v>45970.666666666657</v>
      </c>
      <c r="B7506">
        <f>3683.68095192583*(3/4)</f>
        <v>2762.7607139443762</v>
      </c>
    </row>
    <row r="7507" spans="1:2" x14ac:dyDescent="0.3">
      <c r="A7507" s="2">
        <v>45970.708333333343</v>
      </c>
      <c r="B7507">
        <f>4272.43996019436*(3/4)</f>
        <v>3204.3299701457699</v>
      </c>
    </row>
    <row r="7508" spans="1:2" x14ac:dyDescent="0.3">
      <c r="A7508" s="2">
        <v>45970.75</v>
      </c>
      <c r="B7508">
        <f>3859.41917388614*(3/4)</f>
        <v>2894.5643804146011</v>
      </c>
    </row>
    <row r="7509" spans="1:2" x14ac:dyDescent="0.3">
      <c r="A7509" s="2">
        <v>45970.791666666657</v>
      </c>
      <c r="B7509">
        <f>4210.65356087443*(3/4)</f>
        <v>3157.9901706558258</v>
      </c>
    </row>
    <row r="7510" spans="1:2" x14ac:dyDescent="0.3">
      <c r="A7510" s="2">
        <v>45970.833333333343</v>
      </c>
      <c r="B7510">
        <f>3969.21376000511*(3/4)</f>
        <v>2976.9103200038339</v>
      </c>
    </row>
    <row r="7511" spans="1:2" x14ac:dyDescent="0.3">
      <c r="A7511" s="2">
        <v>45970.875</v>
      </c>
      <c r="B7511">
        <f>3938.47730932054*(3/4)</f>
        <v>2953.857981990408</v>
      </c>
    </row>
    <row r="7512" spans="1:2" x14ac:dyDescent="0.3">
      <c r="A7512" s="2">
        <v>45970.916666666657</v>
      </c>
      <c r="B7512">
        <f>3627.57563363293*(3/4)</f>
        <v>2720.681725224696</v>
      </c>
    </row>
    <row r="7513" spans="1:2" x14ac:dyDescent="0.3">
      <c r="A7513" s="2">
        <v>45970.958333333343</v>
      </c>
      <c r="B7513">
        <f>3792.58669485718*(3/4)</f>
        <v>2844.4400211428842</v>
      </c>
    </row>
    <row r="7514" spans="1:2" x14ac:dyDescent="0.3">
      <c r="A7514" s="2">
        <v>45971</v>
      </c>
      <c r="B7514">
        <f>4229.07198595599*(3/4)</f>
        <v>3171.8039894669946</v>
      </c>
    </row>
    <row r="7515" spans="1:2" x14ac:dyDescent="0.3">
      <c r="A7515" s="2">
        <v>45971.041666666657</v>
      </c>
      <c r="B7515">
        <f>3933.9779376331*(3/4)</f>
        <v>2950.4834532248228</v>
      </c>
    </row>
    <row r="7516" spans="1:2" x14ac:dyDescent="0.3">
      <c r="A7516" s="2">
        <v>45971.083333333343</v>
      </c>
      <c r="B7516">
        <f>4098.5190309705*(3/4)</f>
        <v>3073.8892732278732</v>
      </c>
    </row>
    <row r="7517" spans="1:2" x14ac:dyDescent="0.3">
      <c r="A7517" s="2">
        <v>45971.125</v>
      </c>
      <c r="B7517">
        <f>3728.37502388186*(3/4)</f>
        <v>2796.281267911394</v>
      </c>
    </row>
    <row r="7518" spans="1:2" x14ac:dyDescent="0.3">
      <c r="A7518" s="2">
        <v>45971.166666666657</v>
      </c>
      <c r="B7518">
        <f>4065.61527578821*(3/4)</f>
        <v>3049.2114568411575</v>
      </c>
    </row>
    <row r="7519" spans="1:2" x14ac:dyDescent="0.3">
      <c r="A7519" s="2">
        <v>45971.208333333343</v>
      </c>
      <c r="B7519">
        <f>4192.81589405834*(3/4)</f>
        <v>3144.6119205437535</v>
      </c>
    </row>
    <row r="7520" spans="1:2" x14ac:dyDescent="0.3">
      <c r="A7520" s="2">
        <v>45971.25</v>
      </c>
      <c r="B7520">
        <f>3732.21076440536*(3/4)</f>
        <v>2799.1580733040205</v>
      </c>
    </row>
    <row r="7521" spans="1:2" x14ac:dyDescent="0.3">
      <c r="A7521" s="2">
        <v>45971.291666666657</v>
      </c>
      <c r="B7521">
        <f>3880.6723005298*(3/4)</f>
        <v>2910.5042253973488</v>
      </c>
    </row>
    <row r="7522" spans="1:2" x14ac:dyDescent="0.3">
      <c r="A7522" s="2">
        <v>45971.333333333343</v>
      </c>
      <c r="B7522">
        <f>4218.42818477339*(3/4)</f>
        <v>3163.8211385800441</v>
      </c>
    </row>
    <row r="7523" spans="1:2" x14ac:dyDescent="0.3">
      <c r="A7523" s="2">
        <v>45971.375</v>
      </c>
      <c r="B7523">
        <f>3901.95927285666*(3/4)</f>
        <v>2926.4694546424944</v>
      </c>
    </row>
    <row r="7524" spans="1:2" x14ac:dyDescent="0.3">
      <c r="A7524" s="2">
        <v>45971.416666666657</v>
      </c>
      <c r="B7524">
        <f>4072.95721738552*(3/4)</f>
        <v>3054.7179130391414</v>
      </c>
    </row>
    <row r="7525" spans="1:2" x14ac:dyDescent="0.3">
      <c r="A7525" s="2">
        <v>45971.458333333343</v>
      </c>
      <c r="B7525">
        <f>4142.81509703594*(3/4)</f>
        <v>3107.1113227769551</v>
      </c>
    </row>
    <row r="7526" spans="1:2" x14ac:dyDescent="0.3">
      <c r="A7526" s="2">
        <v>45971.5</v>
      </c>
      <c r="B7526">
        <f>4310.8433239123*(3/4)</f>
        <v>3233.1324929342254</v>
      </c>
    </row>
    <row r="7527" spans="1:2" x14ac:dyDescent="0.3">
      <c r="A7527" s="2">
        <v>45971.541666666657</v>
      </c>
      <c r="B7527">
        <f>4071.83121341299*(3/4)</f>
        <v>3053.8734100597421</v>
      </c>
    </row>
    <row r="7528" spans="1:2" x14ac:dyDescent="0.3">
      <c r="A7528" s="2">
        <v>45971.583333333343</v>
      </c>
      <c r="B7528">
        <f>3950.56581307673*(3/4)</f>
        <v>2962.9243598075482</v>
      </c>
    </row>
    <row r="7529" spans="1:2" x14ac:dyDescent="0.3">
      <c r="A7529" s="2">
        <v>45971.625</v>
      </c>
      <c r="B7529">
        <f>4327.26881310824*(3/4)</f>
        <v>3245.4516098311769</v>
      </c>
    </row>
    <row r="7530" spans="1:2" x14ac:dyDescent="0.3">
      <c r="A7530" s="2">
        <v>45971.666666666657</v>
      </c>
      <c r="B7530">
        <f>3828.86721253479*(3/4)</f>
        <v>2871.6504094010925</v>
      </c>
    </row>
    <row r="7531" spans="1:2" x14ac:dyDescent="0.3">
      <c r="A7531" s="2">
        <v>45971.708333333343</v>
      </c>
      <c r="B7531">
        <f>3997.91371024274*(3/4)</f>
        <v>2998.435282682055</v>
      </c>
    </row>
    <row r="7532" spans="1:2" x14ac:dyDescent="0.3">
      <c r="A7532" s="2">
        <v>45971.75</v>
      </c>
      <c r="B7532">
        <f>3898.15009093892*(3/4)</f>
        <v>2923.6125682041866</v>
      </c>
    </row>
    <row r="7533" spans="1:2" x14ac:dyDescent="0.3">
      <c r="A7533" s="2">
        <v>45971.791666666657</v>
      </c>
      <c r="B7533">
        <f>4348.12503586113*(3/4)</f>
        <v>3261.0937768958502</v>
      </c>
    </row>
    <row r="7534" spans="1:2" x14ac:dyDescent="0.3">
      <c r="A7534" s="2">
        <v>45971.833333333343</v>
      </c>
      <c r="B7534">
        <f>4086.46280936664*(3/4)</f>
        <v>3064.8471070249816</v>
      </c>
    </row>
    <row r="7535" spans="1:2" x14ac:dyDescent="0.3">
      <c r="A7535" s="2">
        <v>45971.875</v>
      </c>
      <c r="B7535">
        <f>4216.7690075193*(3/4)</f>
        <v>3162.5767556394753</v>
      </c>
    </row>
    <row r="7536" spans="1:2" x14ac:dyDescent="0.3">
      <c r="A7536" s="2">
        <v>45971.916666666657</v>
      </c>
      <c r="B7536">
        <f>3748.51743434131*(3/4)</f>
        <v>2811.3880757559787</v>
      </c>
    </row>
    <row r="7537" spans="1:2" x14ac:dyDescent="0.3">
      <c r="A7537" s="2">
        <v>45971.958333333343</v>
      </c>
      <c r="B7537">
        <f>3881.3169182508*(3/4)</f>
        <v>2910.9876886881029</v>
      </c>
    </row>
    <row r="7538" spans="1:2" x14ac:dyDescent="0.3">
      <c r="A7538" s="2">
        <v>45972</v>
      </c>
      <c r="B7538">
        <f>4197.14211612198*(3/4)</f>
        <v>3147.8565870914881</v>
      </c>
    </row>
    <row r="7539" spans="1:2" x14ac:dyDescent="0.3">
      <c r="A7539" s="2">
        <v>45972.041666666657</v>
      </c>
      <c r="B7539">
        <f>3846.44470368355*(3/4)</f>
        <v>2884.8335277626638</v>
      </c>
    </row>
    <row r="7540" spans="1:2" x14ac:dyDescent="0.3">
      <c r="A7540" s="2">
        <v>45972.083333333343</v>
      </c>
      <c r="B7540">
        <f>3992.13971503891*(3/4)</f>
        <v>2994.1047862791802</v>
      </c>
    </row>
    <row r="7541" spans="1:2" x14ac:dyDescent="0.3">
      <c r="A7541" s="2">
        <v>45972.125</v>
      </c>
      <c r="B7541">
        <f>3719.60175383803*(3/4)</f>
        <v>2789.7013153785238</v>
      </c>
    </row>
    <row r="7542" spans="1:2" x14ac:dyDescent="0.3">
      <c r="A7542" s="2">
        <v>45972.166666666657</v>
      </c>
      <c r="B7542">
        <f>3824.75618564734*(3/4)</f>
        <v>2868.5671392355089</v>
      </c>
    </row>
    <row r="7543" spans="1:2" x14ac:dyDescent="0.3">
      <c r="A7543" s="2">
        <v>45972.208333333343</v>
      </c>
      <c r="B7543">
        <f>4040.27954549495*(3/4)</f>
        <v>3030.2096591212121</v>
      </c>
    </row>
    <row r="7544" spans="1:2" x14ac:dyDescent="0.3">
      <c r="A7544" s="2">
        <v>45972.25</v>
      </c>
      <c r="B7544">
        <f>3883.48581037664*(3/4)</f>
        <v>2912.6143577824769</v>
      </c>
    </row>
    <row r="7545" spans="1:2" x14ac:dyDescent="0.3">
      <c r="A7545" s="2">
        <v>45972.291666666657</v>
      </c>
      <c r="B7545">
        <f>4065.42185124546*(3/4)</f>
        <v>3049.0663884340966</v>
      </c>
    </row>
    <row r="7546" spans="1:2" x14ac:dyDescent="0.3">
      <c r="A7546" s="2">
        <v>45972.333333333343</v>
      </c>
      <c r="B7546">
        <f>4095.78454234342*(3/4)</f>
        <v>3071.838406757568</v>
      </c>
    </row>
    <row r="7547" spans="1:2" x14ac:dyDescent="0.3">
      <c r="A7547" s="2">
        <v>45972.375</v>
      </c>
      <c r="B7547">
        <f>3935.89416754414*(3/4)</f>
        <v>2951.9206256581051</v>
      </c>
    </row>
    <row r="7548" spans="1:2" x14ac:dyDescent="0.3">
      <c r="A7548" s="2">
        <v>45972.416666666657</v>
      </c>
      <c r="B7548">
        <f>4140.00311458296*(3/4)</f>
        <v>3105.0023359372171</v>
      </c>
    </row>
    <row r="7549" spans="1:2" x14ac:dyDescent="0.3">
      <c r="A7549" s="2">
        <v>45972.458333333343</v>
      </c>
      <c r="B7549">
        <f>3949.02533257826*(3/4)</f>
        <v>2961.768999433692</v>
      </c>
    </row>
    <row r="7550" spans="1:2" x14ac:dyDescent="0.3">
      <c r="A7550" s="2">
        <v>45972.5</v>
      </c>
      <c r="B7550">
        <f>3856.40270933781*(3/4)</f>
        <v>2892.3020320033556</v>
      </c>
    </row>
    <row r="7551" spans="1:2" x14ac:dyDescent="0.3">
      <c r="A7551" s="2">
        <v>45972.541666666657</v>
      </c>
      <c r="B7551">
        <f>4144.53051700147*(3/4)</f>
        <v>3108.3978877510999</v>
      </c>
    </row>
    <row r="7552" spans="1:2" x14ac:dyDescent="0.3">
      <c r="A7552" s="2">
        <v>45972.583333333343</v>
      </c>
      <c r="B7552">
        <f>3942.25616264809*(3/4)</f>
        <v>2956.6921219860706</v>
      </c>
    </row>
    <row r="7553" spans="1:2" x14ac:dyDescent="0.3">
      <c r="A7553" s="2">
        <v>45972.625</v>
      </c>
      <c r="B7553">
        <f>3929.54872427944*(3/4)</f>
        <v>2947.1615432095787</v>
      </c>
    </row>
    <row r="7554" spans="1:2" x14ac:dyDescent="0.3">
      <c r="A7554" s="2">
        <v>45972.666666666657</v>
      </c>
      <c r="B7554">
        <f>4292.99362868865*(3/4)</f>
        <v>3219.7452215164867</v>
      </c>
    </row>
    <row r="7555" spans="1:2" x14ac:dyDescent="0.3">
      <c r="A7555" s="2">
        <v>45972.708333333343</v>
      </c>
      <c r="B7555">
        <f>4193.73937261249*(3/4)</f>
        <v>3145.3045294593658</v>
      </c>
    </row>
    <row r="7556" spans="1:2" x14ac:dyDescent="0.3">
      <c r="A7556" s="2">
        <v>45972.75</v>
      </c>
      <c r="B7556">
        <f>3829.9187877887*(3/4)</f>
        <v>2872.439090841528</v>
      </c>
    </row>
    <row r="7557" spans="1:2" x14ac:dyDescent="0.3">
      <c r="A7557" s="2">
        <v>45972.791666666657</v>
      </c>
      <c r="B7557">
        <f>4316.75148168846*(3/4)</f>
        <v>3237.5636112663469</v>
      </c>
    </row>
    <row r="7558" spans="1:2" x14ac:dyDescent="0.3">
      <c r="A7558" s="2">
        <v>45972.833333333343</v>
      </c>
      <c r="B7558">
        <f>4063.49217740455*(3/4)</f>
        <v>3047.6191330534148</v>
      </c>
    </row>
    <row r="7559" spans="1:2" x14ac:dyDescent="0.3">
      <c r="A7559" s="2">
        <v>45972.875</v>
      </c>
      <c r="B7559">
        <f>3807.75444864012*(3/4)</f>
        <v>2855.8158364800938</v>
      </c>
    </row>
    <row r="7560" spans="1:2" x14ac:dyDescent="0.3">
      <c r="A7560" s="2">
        <v>45972.916666666657</v>
      </c>
      <c r="B7560">
        <f>3628.36368223306*(3/4)</f>
        <v>2721.2727616747943</v>
      </c>
    </row>
    <row r="7561" spans="1:2" x14ac:dyDescent="0.3">
      <c r="A7561" s="2">
        <v>45972.958333333343</v>
      </c>
      <c r="B7561">
        <f>3823.34416440957*(3/4)</f>
        <v>2867.5081233071783</v>
      </c>
    </row>
    <row r="7562" spans="1:2" x14ac:dyDescent="0.3">
      <c r="A7562" s="2">
        <v>45973</v>
      </c>
      <c r="B7562">
        <f>2981.08215584631*(3/4)</f>
        <v>2235.8116168847341</v>
      </c>
    </row>
    <row r="7563" spans="1:2" x14ac:dyDescent="0.3">
      <c r="A7563" s="2">
        <v>45973.041666666657</v>
      </c>
      <c r="B7563">
        <f>3688.01883569975*(3/4)</f>
        <v>2766.0141267748108</v>
      </c>
    </row>
    <row r="7564" spans="1:2" x14ac:dyDescent="0.3">
      <c r="A7564" s="2">
        <v>45973.083333333343</v>
      </c>
      <c r="B7564">
        <f>3852.62892579759*(3/4)</f>
        <v>2889.4716943481926</v>
      </c>
    </row>
    <row r="7565" spans="1:2" x14ac:dyDescent="0.3">
      <c r="A7565" s="2">
        <v>45973.125</v>
      </c>
      <c r="B7565">
        <f>3915.83713668519*(3/4)</f>
        <v>2936.8778525138887</v>
      </c>
    </row>
    <row r="7566" spans="1:2" x14ac:dyDescent="0.3">
      <c r="A7566" s="2">
        <v>45973.166666666657</v>
      </c>
      <c r="B7566">
        <f>4004.16307966029*(3/4)</f>
        <v>3003.1223097452166</v>
      </c>
    </row>
    <row r="7567" spans="1:2" x14ac:dyDescent="0.3">
      <c r="A7567" s="2">
        <v>45973.208333333343</v>
      </c>
      <c r="B7567">
        <f>3996.67451641136*(3/4)</f>
        <v>2997.5058873085231</v>
      </c>
    </row>
    <row r="7568" spans="1:2" x14ac:dyDescent="0.3">
      <c r="A7568" s="2">
        <v>45973.25</v>
      </c>
      <c r="B7568">
        <f>3843.63750256413*(3/4)</f>
        <v>2882.7281269231007</v>
      </c>
    </row>
    <row r="7569" spans="1:2" x14ac:dyDescent="0.3">
      <c r="A7569" s="2">
        <v>45973.291666666657</v>
      </c>
      <c r="B7569">
        <f>4097.04590332033*(3/4)</f>
        <v>3072.7844274902482</v>
      </c>
    </row>
    <row r="7570" spans="1:2" x14ac:dyDescent="0.3">
      <c r="A7570" s="2">
        <v>45973.333333333343</v>
      </c>
      <c r="B7570">
        <f>4132.25394933519*(3/4)</f>
        <v>3099.190462001392</v>
      </c>
    </row>
    <row r="7571" spans="1:2" x14ac:dyDescent="0.3">
      <c r="A7571" s="2">
        <v>45973.375</v>
      </c>
      <c r="B7571">
        <f>4308.87195536499*(3/4)</f>
        <v>3231.6539665237415</v>
      </c>
    </row>
    <row r="7572" spans="1:2" x14ac:dyDescent="0.3">
      <c r="A7572" s="2">
        <v>45973.416666666657</v>
      </c>
      <c r="B7572">
        <f>3875.3849462066*(3/4)</f>
        <v>2906.5387096549462</v>
      </c>
    </row>
    <row r="7573" spans="1:2" x14ac:dyDescent="0.3">
      <c r="A7573" s="2">
        <v>45973.458333333343</v>
      </c>
      <c r="B7573">
        <f>3963.0598347553*(3/4)</f>
        <v>2972.2948760664713</v>
      </c>
    </row>
    <row r="7574" spans="1:2" x14ac:dyDescent="0.3">
      <c r="A7574" s="2">
        <v>45973.5</v>
      </c>
      <c r="B7574">
        <f>3853.5537429252*(3/4)</f>
        <v>2890.1653071939031</v>
      </c>
    </row>
    <row r="7575" spans="1:2" x14ac:dyDescent="0.3">
      <c r="A7575" s="2">
        <v>45973.541666666657</v>
      </c>
      <c r="B7575">
        <f>4153.33309369238*(3/4)</f>
        <v>3114.999820269285</v>
      </c>
    </row>
    <row r="7576" spans="1:2" x14ac:dyDescent="0.3">
      <c r="A7576" s="2">
        <v>45973.583333333343</v>
      </c>
      <c r="B7576">
        <f>3938.95546098328*(3/4)</f>
        <v>2954.2165957374586</v>
      </c>
    </row>
    <row r="7577" spans="1:2" x14ac:dyDescent="0.3">
      <c r="A7577" s="2">
        <v>45973.625</v>
      </c>
      <c r="B7577">
        <f>4282.83362826169*(3/4)</f>
        <v>3212.125221196271</v>
      </c>
    </row>
    <row r="7578" spans="1:2" x14ac:dyDescent="0.3">
      <c r="A7578" s="2">
        <v>45973.666666666657</v>
      </c>
      <c r="B7578">
        <f>3913.6584533344*(3/4)</f>
        <v>2935.2438400008</v>
      </c>
    </row>
    <row r="7579" spans="1:2" x14ac:dyDescent="0.3">
      <c r="A7579" s="2">
        <v>45973.708333333343</v>
      </c>
      <c r="B7579">
        <f>4192.20387192273*(3/4)</f>
        <v>3144.1529039420475</v>
      </c>
    </row>
    <row r="7580" spans="1:2" x14ac:dyDescent="0.3">
      <c r="A7580" s="2">
        <v>45973.75</v>
      </c>
      <c r="B7580">
        <f>4366.57152954087*(3/4)</f>
        <v>3274.9286471556534</v>
      </c>
    </row>
    <row r="7581" spans="1:2" x14ac:dyDescent="0.3">
      <c r="A7581" s="2">
        <v>45973.791666666657</v>
      </c>
      <c r="B7581">
        <f>3804.89007868879*(3/4)</f>
        <v>2853.667559016591</v>
      </c>
    </row>
    <row r="7582" spans="1:2" x14ac:dyDescent="0.3">
      <c r="A7582" s="2">
        <v>45973.833333333343</v>
      </c>
      <c r="B7582">
        <f>4072.78971515156*(3/4)</f>
        <v>3054.5922863636697</v>
      </c>
    </row>
    <row r="7583" spans="1:2" x14ac:dyDescent="0.3">
      <c r="A7583" s="2">
        <v>45973.875</v>
      </c>
      <c r="B7583">
        <f>4137.4509956013*(3/4)</f>
        <v>3103.0882467009728</v>
      </c>
    </row>
    <row r="7584" spans="1:2" x14ac:dyDescent="0.3">
      <c r="A7584" s="2">
        <v>45973.916666666657</v>
      </c>
      <c r="B7584">
        <f>4015.58050274527*(3/4)</f>
        <v>3011.6853770589496</v>
      </c>
    </row>
    <row r="7585" spans="1:2" x14ac:dyDescent="0.3">
      <c r="A7585" s="2">
        <v>45973.958333333343</v>
      </c>
      <c r="B7585">
        <f>3747.84277780699*(3/4)</f>
        <v>2810.882083355244</v>
      </c>
    </row>
    <row r="7586" spans="1:2" x14ac:dyDescent="0.3">
      <c r="A7586" s="2">
        <v>45974</v>
      </c>
      <c r="B7586">
        <f>4134.92598616256*(3/4)</f>
        <v>3101.194489621917</v>
      </c>
    </row>
    <row r="7587" spans="1:2" x14ac:dyDescent="0.3">
      <c r="A7587" s="2">
        <v>45974.041666666657</v>
      </c>
      <c r="B7587">
        <f>4170.55894505831*(3/4)</f>
        <v>3127.9192087937327</v>
      </c>
    </row>
    <row r="7588" spans="1:2" x14ac:dyDescent="0.3">
      <c r="A7588" s="2">
        <v>45974.083333333343</v>
      </c>
      <c r="B7588">
        <f>3874.95497437126*(3/4)</f>
        <v>2906.2162307784465</v>
      </c>
    </row>
    <row r="7589" spans="1:2" x14ac:dyDescent="0.3">
      <c r="A7589" s="2">
        <v>45974.125</v>
      </c>
      <c r="B7589">
        <f>4138.23597125887*(3/4)</f>
        <v>3103.6769784441562</v>
      </c>
    </row>
    <row r="7590" spans="1:2" x14ac:dyDescent="0.3">
      <c r="A7590" s="2">
        <v>45974.166666666657</v>
      </c>
      <c r="B7590">
        <f>3904.14892247385*(3/4)</f>
        <v>2928.1116918553885</v>
      </c>
    </row>
    <row r="7591" spans="1:2" x14ac:dyDescent="0.3">
      <c r="A7591" s="2">
        <v>45974.208333333343</v>
      </c>
      <c r="B7591">
        <f>4141.18869335024*(3/4)</f>
        <v>3105.8915200126767</v>
      </c>
    </row>
    <row r="7592" spans="1:2" x14ac:dyDescent="0.3">
      <c r="A7592" s="2">
        <v>45974.25</v>
      </c>
      <c r="B7592">
        <f>3717.38746506105*(3/4)</f>
        <v>2788.0405987957884</v>
      </c>
    </row>
    <row r="7593" spans="1:2" x14ac:dyDescent="0.3">
      <c r="A7593" s="2">
        <v>45974.291666666657</v>
      </c>
      <c r="B7593">
        <f>4125.96705027798*(3/4)</f>
        <v>3094.4752877084816</v>
      </c>
    </row>
    <row r="7594" spans="1:2" x14ac:dyDescent="0.3">
      <c r="A7594" s="2">
        <v>45974.333333333343</v>
      </c>
      <c r="B7594">
        <f>4277.90755159531*(3/4)</f>
        <v>3208.4306636964848</v>
      </c>
    </row>
    <row r="7595" spans="1:2" x14ac:dyDescent="0.3">
      <c r="A7595" s="2">
        <v>45974.375</v>
      </c>
      <c r="B7595">
        <f>4046.82527499276*(3/4)</f>
        <v>3035.1189562445693</v>
      </c>
    </row>
    <row r="7596" spans="1:2" x14ac:dyDescent="0.3">
      <c r="A7596" s="2">
        <v>45974.416666666657</v>
      </c>
      <c r="B7596">
        <f>3898.07505884187*(3/4)</f>
        <v>2923.556294131402</v>
      </c>
    </row>
    <row r="7597" spans="1:2" x14ac:dyDescent="0.3">
      <c r="A7597" s="2">
        <v>45974.458333333343</v>
      </c>
      <c r="B7597">
        <f>4019.51202102134*(3/4)</f>
        <v>3014.6340157660052</v>
      </c>
    </row>
    <row r="7598" spans="1:2" x14ac:dyDescent="0.3">
      <c r="A7598" s="2">
        <v>45974.5</v>
      </c>
      <c r="B7598">
        <f>4030.75295677081*(3/4)</f>
        <v>3023.0647175781078</v>
      </c>
    </row>
    <row r="7599" spans="1:2" x14ac:dyDescent="0.3">
      <c r="A7599" s="2">
        <v>45974.541666666657</v>
      </c>
      <c r="B7599">
        <f>4381.02204477845*(3/4)</f>
        <v>3285.7665335838365</v>
      </c>
    </row>
    <row r="7600" spans="1:2" x14ac:dyDescent="0.3">
      <c r="A7600" s="2">
        <v>45974.583333333343</v>
      </c>
      <c r="B7600">
        <f>3784.28498682019*(3/4)</f>
        <v>2838.213740115144</v>
      </c>
    </row>
    <row r="7601" spans="1:2" x14ac:dyDescent="0.3">
      <c r="A7601" s="2">
        <v>45974.625</v>
      </c>
      <c r="B7601">
        <f>4270.77953903598*(3/4)</f>
        <v>3203.0846542769823</v>
      </c>
    </row>
    <row r="7602" spans="1:2" x14ac:dyDescent="0.3">
      <c r="A7602" s="2">
        <v>45974.666666666657</v>
      </c>
      <c r="B7602">
        <f>4010.71309223345*(3/4)</f>
        <v>3008.0348191750913</v>
      </c>
    </row>
    <row r="7603" spans="1:2" x14ac:dyDescent="0.3">
      <c r="A7603" s="2">
        <v>45974.708333333343</v>
      </c>
      <c r="B7603">
        <f>4390.43931701414*(3/4)</f>
        <v>3292.8294877606049</v>
      </c>
    </row>
    <row r="7604" spans="1:2" x14ac:dyDescent="0.3">
      <c r="A7604" s="2">
        <v>45974.75</v>
      </c>
      <c r="B7604">
        <f>4055.58458383001*(3/4)</f>
        <v>3041.688437872509</v>
      </c>
    </row>
    <row r="7605" spans="1:2" x14ac:dyDescent="0.3">
      <c r="A7605" s="2">
        <v>45974.791666666657</v>
      </c>
      <c r="B7605">
        <f>4295.97332329904*(3/4)</f>
        <v>3221.9799924742774</v>
      </c>
    </row>
    <row r="7606" spans="1:2" x14ac:dyDescent="0.3">
      <c r="A7606" s="2">
        <v>45974.833333333343</v>
      </c>
      <c r="B7606">
        <f>4105.11772404082*(3/4)</f>
        <v>3078.8382930306152</v>
      </c>
    </row>
    <row r="7607" spans="1:2" x14ac:dyDescent="0.3">
      <c r="A7607" s="2">
        <v>45974.875</v>
      </c>
      <c r="B7607">
        <f>4061.50758622994*(3/4)</f>
        <v>3046.1306896724582</v>
      </c>
    </row>
    <row r="7608" spans="1:2" x14ac:dyDescent="0.3">
      <c r="A7608" s="2">
        <v>45974.916666666657</v>
      </c>
      <c r="B7608">
        <f>3989.07521917676*(3/4)</f>
        <v>2991.8064143825686</v>
      </c>
    </row>
    <row r="7609" spans="1:2" x14ac:dyDescent="0.3">
      <c r="A7609" s="2">
        <v>45974.958333333343</v>
      </c>
      <c r="B7609">
        <f>3922.23514588808*(3/4)</f>
        <v>2941.676359416062</v>
      </c>
    </row>
    <row r="7610" spans="1:2" x14ac:dyDescent="0.3">
      <c r="A7610" s="2">
        <v>45975</v>
      </c>
      <c r="B7610">
        <f>4158.04759344059*(3/4)</f>
        <v>3118.5356950804394</v>
      </c>
    </row>
    <row r="7611" spans="1:2" x14ac:dyDescent="0.3">
      <c r="A7611" s="2">
        <v>45975.041666666657</v>
      </c>
      <c r="B7611">
        <f>3925.67811244811*(3/4)</f>
        <v>2944.2585843360857</v>
      </c>
    </row>
    <row r="7612" spans="1:2" x14ac:dyDescent="0.3">
      <c r="A7612" s="2">
        <v>45975.083333333343</v>
      </c>
      <c r="B7612">
        <f>3852.98770619064*(3/4)</f>
        <v>2889.7407796429798</v>
      </c>
    </row>
    <row r="7613" spans="1:2" x14ac:dyDescent="0.3">
      <c r="A7613" s="2">
        <v>45975.125</v>
      </c>
      <c r="B7613">
        <f>3878.14822745502*(3/4)</f>
        <v>2908.6111705912645</v>
      </c>
    </row>
    <row r="7614" spans="1:2" x14ac:dyDescent="0.3">
      <c r="A7614" s="2">
        <v>45975.166666666657</v>
      </c>
      <c r="B7614">
        <f>4085.16890109804*(3/4)</f>
        <v>3063.8766758235306</v>
      </c>
    </row>
    <row r="7615" spans="1:2" x14ac:dyDescent="0.3">
      <c r="A7615" s="2">
        <v>45975.208333333343</v>
      </c>
      <c r="B7615">
        <f>3809.44120429995*(3/4)</f>
        <v>2857.0809032249645</v>
      </c>
    </row>
    <row r="7616" spans="1:2" x14ac:dyDescent="0.3">
      <c r="A7616" s="2">
        <v>45975.25</v>
      </c>
      <c r="B7616">
        <f>4050.30003011503*(3/4)</f>
        <v>3037.7250225862695</v>
      </c>
    </row>
    <row r="7617" spans="1:2" x14ac:dyDescent="0.3">
      <c r="A7617" s="2">
        <v>45975.291666666657</v>
      </c>
      <c r="B7617">
        <f>4057.4124953482*(3/4)</f>
        <v>3043.0593715111481</v>
      </c>
    </row>
    <row r="7618" spans="1:2" x14ac:dyDescent="0.3">
      <c r="A7618" s="2">
        <v>45975.333333333343</v>
      </c>
      <c r="B7618">
        <f>4024.77333537378*(3/4)</f>
        <v>3018.580001530333</v>
      </c>
    </row>
    <row r="7619" spans="1:2" x14ac:dyDescent="0.3">
      <c r="A7619" s="2">
        <v>45975.375</v>
      </c>
      <c r="B7619">
        <f>4003.77694947049*(3/4)</f>
        <v>3002.8327121028674</v>
      </c>
    </row>
    <row r="7620" spans="1:2" x14ac:dyDescent="0.3">
      <c r="A7620" s="2">
        <v>45975.416666666657</v>
      </c>
      <c r="B7620">
        <f>4017.93653222239*(3/4)</f>
        <v>3013.4523991667911</v>
      </c>
    </row>
    <row r="7621" spans="1:2" x14ac:dyDescent="0.3">
      <c r="A7621" s="2">
        <v>45975.458333333343</v>
      </c>
      <c r="B7621">
        <f>4135.48558030882*(3/4)</f>
        <v>3101.6141852316146</v>
      </c>
    </row>
    <row r="7622" spans="1:2" x14ac:dyDescent="0.3">
      <c r="A7622" s="2">
        <v>45975.5</v>
      </c>
      <c r="B7622">
        <f>4307.10154082531*(3/4)</f>
        <v>3230.3261556189823</v>
      </c>
    </row>
    <row r="7623" spans="1:2" x14ac:dyDescent="0.3">
      <c r="A7623" s="2">
        <v>45975.541666666657</v>
      </c>
      <c r="B7623">
        <f>3956.50534495934*(3/4)</f>
        <v>2967.3790087195052</v>
      </c>
    </row>
    <row r="7624" spans="1:2" x14ac:dyDescent="0.3">
      <c r="A7624" s="2">
        <v>45975.583333333343</v>
      </c>
      <c r="B7624">
        <f>3837.39861802395*(3/4)</f>
        <v>2878.0489635179592</v>
      </c>
    </row>
    <row r="7625" spans="1:2" x14ac:dyDescent="0.3">
      <c r="A7625" s="2">
        <v>45975.625</v>
      </c>
      <c r="B7625">
        <f>4066.90306860395*(3/4)</f>
        <v>3050.177301452964</v>
      </c>
    </row>
    <row r="7626" spans="1:2" x14ac:dyDescent="0.3">
      <c r="A7626" s="2">
        <v>45975.666666666657</v>
      </c>
      <c r="B7626">
        <f>4105.41841253657*(3/4)</f>
        <v>3079.0638094024252</v>
      </c>
    </row>
    <row r="7627" spans="1:2" x14ac:dyDescent="0.3">
      <c r="A7627" s="2">
        <v>45975.708333333343</v>
      </c>
      <c r="B7627">
        <f>4019.86296982682*(3/4)</f>
        <v>3014.897227370112</v>
      </c>
    </row>
    <row r="7628" spans="1:2" x14ac:dyDescent="0.3">
      <c r="A7628" s="2">
        <v>45975.75</v>
      </c>
      <c r="B7628">
        <f>4027.42272660879*(3/4)</f>
        <v>3020.5670449565932</v>
      </c>
    </row>
    <row r="7629" spans="1:2" x14ac:dyDescent="0.3">
      <c r="A7629" s="2">
        <v>45975.791666666657</v>
      </c>
      <c r="B7629">
        <f>4139.10827094815*(3/4)</f>
        <v>3104.3312032111089</v>
      </c>
    </row>
    <row r="7630" spans="1:2" x14ac:dyDescent="0.3">
      <c r="A7630" s="2">
        <v>45975.833333333343</v>
      </c>
      <c r="B7630">
        <f>3991.95153788091*(3/4)</f>
        <v>2993.9636534106789</v>
      </c>
    </row>
    <row r="7631" spans="1:2" x14ac:dyDescent="0.3">
      <c r="A7631" s="2">
        <v>45975.875</v>
      </c>
      <c r="B7631">
        <f>4017.38755784524*(3/4)</f>
        <v>3013.0406683839337</v>
      </c>
    </row>
    <row r="7632" spans="1:2" x14ac:dyDescent="0.3">
      <c r="A7632" s="2">
        <v>45975.916666666657</v>
      </c>
      <c r="B7632">
        <f>3577.59825456659*(3/4)</f>
        <v>2683.1986909249454</v>
      </c>
    </row>
    <row r="7633" spans="1:2" x14ac:dyDescent="0.3">
      <c r="A7633" s="2">
        <v>45975.958333333343</v>
      </c>
      <c r="B7633">
        <f>3647.33641200286*(3/4)</f>
        <v>2735.5023090021427</v>
      </c>
    </row>
    <row r="7634" spans="1:2" x14ac:dyDescent="0.3">
      <c r="A7634" s="2">
        <v>45976</v>
      </c>
      <c r="B7634">
        <f>3758.85351723246*(3/4)</f>
        <v>2819.1401379243421</v>
      </c>
    </row>
    <row r="7635" spans="1:2" x14ac:dyDescent="0.3">
      <c r="A7635" s="2">
        <v>45976.041666666657</v>
      </c>
      <c r="B7635">
        <f>3714.50386511033*(3/4)</f>
        <v>2785.877898832744</v>
      </c>
    </row>
    <row r="7636" spans="1:2" x14ac:dyDescent="0.3">
      <c r="A7636" s="2">
        <v>45976.083333333343</v>
      </c>
      <c r="B7636">
        <f>3799.05665590815*(3/4)</f>
        <v>2849.2924919311163</v>
      </c>
    </row>
    <row r="7637" spans="1:2" x14ac:dyDescent="0.3">
      <c r="A7637" s="2">
        <v>45976.125</v>
      </c>
      <c r="B7637">
        <f>3784.57140829891*(3/4)</f>
        <v>2838.4285562241848</v>
      </c>
    </row>
    <row r="7638" spans="1:2" x14ac:dyDescent="0.3">
      <c r="A7638" s="2">
        <v>45976.166666666657</v>
      </c>
      <c r="B7638">
        <f>3716.77551731315*(3/4)</f>
        <v>2787.5816379848657</v>
      </c>
    </row>
    <row r="7639" spans="1:2" x14ac:dyDescent="0.3">
      <c r="A7639" s="2">
        <v>45976.208333333343</v>
      </c>
      <c r="B7639">
        <f>4084.05619052365*(3/4)</f>
        <v>3063.0421428927339</v>
      </c>
    </row>
    <row r="7640" spans="1:2" x14ac:dyDescent="0.3">
      <c r="A7640" s="2">
        <v>45976.25</v>
      </c>
      <c r="B7640">
        <f>3670.74713876585*(3/4)</f>
        <v>2753.0603540743896</v>
      </c>
    </row>
    <row r="7641" spans="1:2" x14ac:dyDescent="0.3">
      <c r="A7641" s="2">
        <v>45976.291666666657</v>
      </c>
      <c r="B7641">
        <f>4209.73910972115*(3/4)</f>
        <v>3157.3043322908616</v>
      </c>
    </row>
    <row r="7642" spans="1:2" x14ac:dyDescent="0.3">
      <c r="A7642" s="2">
        <v>45976.333333333343</v>
      </c>
      <c r="B7642">
        <f>3928.21566334416*(3/4)</f>
        <v>2946.161747508123</v>
      </c>
    </row>
    <row r="7643" spans="1:2" x14ac:dyDescent="0.3">
      <c r="A7643" s="2">
        <v>45976.375</v>
      </c>
      <c r="B7643">
        <f>4156.67026701027*(3/4)</f>
        <v>3117.5027002577026</v>
      </c>
    </row>
    <row r="7644" spans="1:2" x14ac:dyDescent="0.3">
      <c r="A7644" s="2">
        <v>45976.416666666657</v>
      </c>
      <c r="B7644">
        <f>4211.1599874386*(3/4)</f>
        <v>3158.3699905789481</v>
      </c>
    </row>
    <row r="7645" spans="1:2" x14ac:dyDescent="0.3">
      <c r="A7645" s="2">
        <v>45976.458333333343</v>
      </c>
      <c r="B7645">
        <f>4053.64420503378*(3/4)</f>
        <v>3040.2331537753325</v>
      </c>
    </row>
    <row r="7646" spans="1:2" x14ac:dyDescent="0.3">
      <c r="A7646" s="2">
        <v>45976.5</v>
      </c>
      <c r="B7646">
        <f>3938.57519679302*(3/4)</f>
        <v>2953.9313975947662</v>
      </c>
    </row>
    <row r="7647" spans="1:2" x14ac:dyDescent="0.3">
      <c r="A7647" s="2">
        <v>45976.541666666657</v>
      </c>
      <c r="B7647">
        <f>4016.21522829671*(3/4)</f>
        <v>3012.1614212225331</v>
      </c>
    </row>
    <row r="7648" spans="1:2" x14ac:dyDescent="0.3">
      <c r="A7648" s="2">
        <v>45976.583333333343</v>
      </c>
      <c r="B7648">
        <f>3565.21322205874*(3/4)</f>
        <v>2673.9099165440539</v>
      </c>
    </row>
    <row r="7649" spans="1:2" x14ac:dyDescent="0.3">
      <c r="A7649" s="2">
        <v>45976.625</v>
      </c>
      <c r="B7649">
        <f>3963.08277804311*(3/4)</f>
        <v>2972.3120835323325</v>
      </c>
    </row>
    <row r="7650" spans="1:2" x14ac:dyDescent="0.3">
      <c r="A7650" s="2">
        <v>45976.666666666657</v>
      </c>
      <c r="B7650">
        <f>3870.25746037113*(3/4)</f>
        <v>2902.6930952783478</v>
      </c>
    </row>
    <row r="7651" spans="1:2" x14ac:dyDescent="0.3">
      <c r="A7651" s="2">
        <v>45976.708333333343</v>
      </c>
      <c r="B7651">
        <f>4160.10456394815*(3/4)</f>
        <v>3120.0784229611099</v>
      </c>
    </row>
    <row r="7652" spans="1:2" x14ac:dyDescent="0.3">
      <c r="A7652" s="2">
        <v>45976.75</v>
      </c>
      <c r="B7652">
        <f>4364.32183974503*(3/4)</f>
        <v>3273.2413798087705</v>
      </c>
    </row>
    <row r="7653" spans="1:2" x14ac:dyDescent="0.3">
      <c r="A7653" s="2">
        <v>45976.791666666657</v>
      </c>
      <c r="B7653">
        <f>4171.76832792985*(3/4)</f>
        <v>3128.8262459473908</v>
      </c>
    </row>
    <row r="7654" spans="1:2" x14ac:dyDescent="0.3">
      <c r="A7654" s="2">
        <v>45976.833333333343</v>
      </c>
      <c r="B7654">
        <f>3993.93484304224*(3/4)</f>
        <v>2995.4511322816807</v>
      </c>
    </row>
    <row r="7655" spans="1:2" x14ac:dyDescent="0.3">
      <c r="A7655" s="2">
        <v>45976.875</v>
      </c>
      <c r="B7655">
        <f>3986.3932830474*(3/4)</f>
        <v>2989.7949622855531</v>
      </c>
    </row>
    <row r="7656" spans="1:2" x14ac:dyDescent="0.3">
      <c r="A7656" s="2">
        <v>45976.916666666657</v>
      </c>
      <c r="B7656">
        <f>3858.67212674735*(3/4)</f>
        <v>2894.0040950605116</v>
      </c>
    </row>
    <row r="7657" spans="1:2" x14ac:dyDescent="0.3">
      <c r="A7657" s="2">
        <v>45976.958333333343</v>
      </c>
      <c r="B7657">
        <f>3990.59699171716*(3/4)</f>
        <v>2992.9477437878663</v>
      </c>
    </row>
    <row r="7658" spans="1:2" x14ac:dyDescent="0.3">
      <c r="A7658" s="2">
        <v>45977</v>
      </c>
      <c r="B7658">
        <f>4248.18914908918*(3/4)</f>
        <v>3186.1418618168886</v>
      </c>
    </row>
    <row r="7659" spans="1:2" x14ac:dyDescent="0.3">
      <c r="A7659" s="2">
        <v>45977.041666666657</v>
      </c>
      <c r="B7659">
        <f>4105.49462796001*(3/4)</f>
        <v>3079.1209709700061</v>
      </c>
    </row>
    <row r="7660" spans="1:2" x14ac:dyDescent="0.3">
      <c r="A7660" s="2">
        <v>45977.083333333343</v>
      </c>
      <c r="B7660">
        <f>3867.9693762577*(3/4)</f>
        <v>2900.9770321932738</v>
      </c>
    </row>
    <row r="7661" spans="1:2" x14ac:dyDescent="0.3">
      <c r="A7661" s="2">
        <v>45977.125</v>
      </c>
      <c r="B7661">
        <f>4207.74169813247*(3/4)</f>
        <v>3155.8062735993494</v>
      </c>
    </row>
    <row r="7662" spans="1:2" x14ac:dyDescent="0.3">
      <c r="A7662" s="2">
        <v>45977.166666666657</v>
      </c>
      <c r="B7662">
        <f>4069.8649695424*(3/4)</f>
        <v>3052.3987271567976</v>
      </c>
    </row>
    <row r="7663" spans="1:2" x14ac:dyDescent="0.3">
      <c r="A7663" s="2">
        <v>45977.208333333343</v>
      </c>
      <c r="B7663">
        <f>3855.92214792647*(3/4)</f>
        <v>2891.9416109448548</v>
      </c>
    </row>
    <row r="7664" spans="1:2" x14ac:dyDescent="0.3">
      <c r="A7664" s="2">
        <v>45977.25</v>
      </c>
      <c r="B7664">
        <f>3922.77319703117*(3/4)</f>
        <v>2942.0798977733798</v>
      </c>
    </row>
    <row r="7665" spans="1:2" x14ac:dyDescent="0.3">
      <c r="A7665" s="2">
        <v>45977.291666666657</v>
      </c>
      <c r="B7665">
        <f>4108.73161014806*(3/4)</f>
        <v>3081.5487076110448</v>
      </c>
    </row>
    <row r="7666" spans="1:2" x14ac:dyDescent="0.3">
      <c r="A7666" s="2">
        <v>45977.333333333343</v>
      </c>
      <c r="B7666">
        <f>3220.55916061799*(3/4)</f>
        <v>2415.419370463494</v>
      </c>
    </row>
    <row r="7667" spans="1:2" x14ac:dyDescent="0.3">
      <c r="A7667" s="2">
        <v>45977.375</v>
      </c>
      <c r="B7667">
        <f>3395.28440595037*(3/4)</f>
        <v>2546.4633044627776</v>
      </c>
    </row>
    <row r="7668" spans="1:2" x14ac:dyDescent="0.3">
      <c r="A7668" s="2">
        <v>45977.416666666657</v>
      </c>
      <c r="B7668">
        <f>3048.09943078985*(3/4)</f>
        <v>2286.0745730923891</v>
      </c>
    </row>
    <row r="7669" spans="1:2" x14ac:dyDescent="0.3">
      <c r="A7669" s="2">
        <v>45977.458333333343</v>
      </c>
      <c r="B7669">
        <f>3353.61757191616*(3/4)</f>
        <v>2515.2131789371165</v>
      </c>
    </row>
    <row r="7670" spans="1:2" x14ac:dyDescent="0.3">
      <c r="A7670" s="2">
        <v>45977.5</v>
      </c>
      <c r="B7670">
        <f>3275.61226245634*(3/4)</f>
        <v>2456.7091968422551</v>
      </c>
    </row>
    <row r="7671" spans="1:2" x14ac:dyDescent="0.3">
      <c r="A7671" s="2">
        <v>45977.541666666657</v>
      </c>
      <c r="B7671">
        <f>3463.28167671841*(3/4)</f>
        <v>2597.4612575388055</v>
      </c>
    </row>
    <row r="7672" spans="1:2" x14ac:dyDescent="0.3">
      <c r="A7672" s="2">
        <v>45977.583333333343</v>
      </c>
      <c r="B7672">
        <f>2947.25463314097*(3/4)</f>
        <v>2210.4409748557255</v>
      </c>
    </row>
    <row r="7673" spans="1:2" x14ac:dyDescent="0.3">
      <c r="A7673" s="2">
        <v>45977.625</v>
      </c>
      <c r="B7673">
        <f>3199.37322179907*(3/4)</f>
        <v>2399.5299163493055</v>
      </c>
    </row>
    <row r="7674" spans="1:2" x14ac:dyDescent="0.3">
      <c r="A7674" s="2">
        <v>45977.666666666657</v>
      </c>
      <c r="B7674">
        <f>3171.64367047196*(3/4)</f>
        <v>2378.7327528539731</v>
      </c>
    </row>
    <row r="7675" spans="1:2" x14ac:dyDescent="0.3">
      <c r="A7675" s="2">
        <v>45977.708333333343</v>
      </c>
      <c r="B7675">
        <f>4095.39660150012*(3/4)</f>
        <v>3071.5474511250868</v>
      </c>
    </row>
    <row r="7676" spans="1:2" x14ac:dyDescent="0.3">
      <c r="A7676" s="2">
        <v>45977.75</v>
      </c>
      <c r="B7676">
        <f>3941.03264476423*(3/4)</f>
        <v>2955.774483573171</v>
      </c>
    </row>
    <row r="7677" spans="1:2" x14ac:dyDescent="0.3">
      <c r="A7677" s="2">
        <v>45977.791666666657</v>
      </c>
      <c r="B7677">
        <f>4046.67288294963*(3/4)</f>
        <v>3035.004662212224</v>
      </c>
    </row>
    <row r="7678" spans="1:2" x14ac:dyDescent="0.3">
      <c r="A7678" s="2">
        <v>45977.833333333343</v>
      </c>
      <c r="B7678">
        <f>4128.33367960605*(3/4)</f>
        <v>3096.250259704535</v>
      </c>
    </row>
    <row r="7679" spans="1:2" x14ac:dyDescent="0.3">
      <c r="A7679" s="2">
        <v>45977.875</v>
      </c>
      <c r="B7679">
        <f>3986.15900870744*(3/4)</f>
        <v>2989.6192565305832</v>
      </c>
    </row>
    <row r="7680" spans="1:2" x14ac:dyDescent="0.3">
      <c r="A7680" s="2">
        <v>45977.916666666657</v>
      </c>
      <c r="B7680">
        <f>3891.86956804986*(3/4)</f>
        <v>2918.9021760373948</v>
      </c>
    </row>
    <row r="7681" spans="1:2" x14ac:dyDescent="0.3">
      <c r="A7681" s="2">
        <v>45977.958333333343</v>
      </c>
      <c r="B7681">
        <f>3873.66550203362*(3/4)</f>
        <v>2905.2491265252129</v>
      </c>
    </row>
    <row r="7682" spans="1:2" x14ac:dyDescent="0.3">
      <c r="A7682" s="2">
        <v>45978</v>
      </c>
      <c r="B7682">
        <f>3984.24014109698*(3/4)</f>
        <v>2988.1801058227343</v>
      </c>
    </row>
    <row r="7683" spans="1:2" x14ac:dyDescent="0.3">
      <c r="A7683" s="2">
        <v>45978.041666666657</v>
      </c>
      <c r="B7683">
        <f>3940.75203380907*(3/4)</f>
        <v>2955.5640253568026</v>
      </c>
    </row>
    <row r="7684" spans="1:2" x14ac:dyDescent="0.3">
      <c r="A7684" s="2">
        <v>45978.083333333343</v>
      </c>
      <c r="B7684">
        <f>3852.28762898786*(3/4)</f>
        <v>2889.2157217408958</v>
      </c>
    </row>
    <row r="7685" spans="1:2" x14ac:dyDescent="0.3">
      <c r="A7685" s="2">
        <v>45978.125</v>
      </c>
      <c r="B7685">
        <f>2947.79798257835*(3/4)</f>
        <v>2210.8484869337594</v>
      </c>
    </row>
    <row r="7686" spans="1:2" x14ac:dyDescent="0.3">
      <c r="A7686" s="2">
        <v>45978.166666666657</v>
      </c>
      <c r="B7686">
        <f>3780.30757297799*(3/4)</f>
        <v>2835.2306797334918</v>
      </c>
    </row>
    <row r="7687" spans="1:2" x14ac:dyDescent="0.3">
      <c r="A7687" s="2">
        <v>45978.208333333343</v>
      </c>
      <c r="B7687">
        <f>3924.80993117666*(3/4)</f>
        <v>2943.607448382495</v>
      </c>
    </row>
    <row r="7688" spans="1:2" x14ac:dyDescent="0.3">
      <c r="A7688" s="2">
        <v>45978.25</v>
      </c>
      <c r="B7688">
        <f>3864.88937691253*(3/4)</f>
        <v>2898.667032684396</v>
      </c>
    </row>
    <row r="7689" spans="1:2" x14ac:dyDescent="0.3">
      <c r="A7689" s="2">
        <v>45978.291666666657</v>
      </c>
      <c r="B7689">
        <f>3958.29936048*(3/4)</f>
        <v>2968.7245203600005</v>
      </c>
    </row>
    <row r="7690" spans="1:2" x14ac:dyDescent="0.3">
      <c r="A7690" s="2">
        <v>45978.333333333343</v>
      </c>
      <c r="B7690">
        <f>4073.90416502177*(3/4)</f>
        <v>3055.4281237663281</v>
      </c>
    </row>
    <row r="7691" spans="1:2" x14ac:dyDescent="0.3">
      <c r="A7691" s="2">
        <v>45978.375</v>
      </c>
      <c r="B7691">
        <f>3977.07364845347*(3/4)</f>
        <v>2982.8052363401002</v>
      </c>
    </row>
    <row r="7692" spans="1:2" x14ac:dyDescent="0.3">
      <c r="A7692" s="2">
        <v>45978.416666666657</v>
      </c>
      <c r="B7692">
        <f>4117.77506510245*(3/4)</f>
        <v>3088.3312988268344</v>
      </c>
    </row>
    <row r="7693" spans="1:2" x14ac:dyDescent="0.3">
      <c r="A7693" s="2">
        <v>45978.458333333343</v>
      </c>
      <c r="B7693">
        <f>3934.0145773146*(3/4)</f>
        <v>2950.5109329859461</v>
      </c>
    </row>
    <row r="7694" spans="1:2" x14ac:dyDescent="0.3">
      <c r="A7694" s="2">
        <v>45978.5</v>
      </c>
      <c r="B7694">
        <f>4090.1825229829*(3/4)</f>
        <v>3067.6368922371735</v>
      </c>
    </row>
    <row r="7695" spans="1:2" x14ac:dyDescent="0.3">
      <c r="A7695" s="2">
        <v>45978.541666666657</v>
      </c>
      <c r="B7695">
        <f>4204.20403410766*(3/4)</f>
        <v>3153.1530255807465</v>
      </c>
    </row>
    <row r="7696" spans="1:2" x14ac:dyDescent="0.3">
      <c r="A7696" s="2">
        <v>45978.583333333343</v>
      </c>
      <c r="B7696">
        <f>3765.05052216291*(3/4)</f>
        <v>2823.7878916221789</v>
      </c>
    </row>
    <row r="7697" spans="1:2" x14ac:dyDescent="0.3">
      <c r="A7697" s="2">
        <v>45978.625</v>
      </c>
      <c r="B7697">
        <f>3694.88519377048*(3/4)</f>
        <v>2771.1638953278607</v>
      </c>
    </row>
    <row r="7698" spans="1:2" x14ac:dyDescent="0.3">
      <c r="A7698" s="2">
        <v>45978.666666666657</v>
      </c>
      <c r="B7698">
        <f>3988.33031452333*(3/4)</f>
        <v>2991.2477358924953</v>
      </c>
    </row>
    <row r="7699" spans="1:2" x14ac:dyDescent="0.3">
      <c r="A7699" s="2">
        <v>45978.708333333343</v>
      </c>
      <c r="B7699">
        <f>4176.33794157302*(3/4)</f>
        <v>3132.2534561797647</v>
      </c>
    </row>
    <row r="7700" spans="1:2" x14ac:dyDescent="0.3">
      <c r="A7700" s="2">
        <v>45978.75</v>
      </c>
      <c r="B7700">
        <f>4140.35031401988*(3/4)</f>
        <v>3105.2627355149098</v>
      </c>
    </row>
    <row r="7701" spans="1:2" x14ac:dyDescent="0.3">
      <c r="A7701" s="2">
        <v>45978.791666666657</v>
      </c>
      <c r="B7701">
        <f>4344.49478000679*(3/4)</f>
        <v>3258.3710850050893</v>
      </c>
    </row>
    <row r="7702" spans="1:2" x14ac:dyDescent="0.3">
      <c r="A7702" s="2">
        <v>45978.833333333343</v>
      </c>
      <c r="B7702">
        <f>4264.94301687209*(3/4)</f>
        <v>3198.7072626540694</v>
      </c>
    </row>
    <row r="7703" spans="1:2" x14ac:dyDescent="0.3">
      <c r="A7703" s="2">
        <v>45978.875</v>
      </c>
      <c r="B7703">
        <f>4302.47293830305*(3/4)</f>
        <v>3226.8547037272861</v>
      </c>
    </row>
    <row r="7704" spans="1:2" x14ac:dyDescent="0.3">
      <c r="A7704" s="2">
        <v>45978.916666666657</v>
      </c>
      <c r="B7704">
        <f>3877.6016240667*(3/4)</f>
        <v>2908.2012180500237</v>
      </c>
    </row>
    <row r="7705" spans="1:2" x14ac:dyDescent="0.3">
      <c r="A7705" s="2">
        <v>45978.958333333343</v>
      </c>
      <c r="B7705">
        <f>4117.38386830375*(3/4)</f>
        <v>3088.0379012278099</v>
      </c>
    </row>
    <row r="7706" spans="1:2" x14ac:dyDescent="0.3">
      <c r="A7706" s="2">
        <v>45979</v>
      </c>
      <c r="B7706">
        <f>4312.30417731579*(3/4)</f>
        <v>3234.2281329868447</v>
      </c>
    </row>
    <row r="7707" spans="1:2" x14ac:dyDescent="0.3">
      <c r="A7707" s="2">
        <v>45979.041666666657</v>
      </c>
      <c r="B7707">
        <f>3640.58547643248*(3/4)</f>
        <v>2730.4391073243578</v>
      </c>
    </row>
    <row r="7708" spans="1:2" x14ac:dyDescent="0.3">
      <c r="A7708" s="2">
        <v>45979.083333333343</v>
      </c>
      <c r="B7708">
        <f>4051.69214734506*(3/4)</f>
        <v>3038.769110508792</v>
      </c>
    </row>
    <row r="7709" spans="1:2" x14ac:dyDescent="0.3">
      <c r="A7709" s="2">
        <v>45979.125</v>
      </c>
      <c r="B7709">
        <f>3802.09607812813*(3/4)</f>
        <v>2851.572058596098</v>
      </c>
    </row>
    <row r="7710" spans="1:2" x14ac:dyDescent="0.3">
      <c r="A7710" s="2">
        <v>45979.166666666657</v>
      </c>
      <c r="B7710">
        <f>3967.11859141387*(3/4)</f>
        <v>2975.3389435604058</v>
      </c>
    </row>
    <row r="7711" spans="1:2" x14ac:dyDescent="0.3">
      <c r="A7711" s="2">
        <v>45979.208333333343</v>
      </c>
      <c r="B7711">
        <f>3976.87875600527*(3/4)</f>
        <v>2982.6590670039486</v>
      </c>
    </row>
    <row r="7712" spans="1:2" x14ac:dyDescent="0.3">
      <c r="A7712" s="2">
        <v>45979.25</v>
      </c>
      <c r="B7712">
        <f>3772.11033777919*(3/4)</f>
        <v>2829.0827533343891</v>
      </c>
    </row>
    <row r="7713" spans="1:2" x14ac:dyDescent="0.3">
      <c r="A7713" s="2">
        <v>45979.291666666657</v>
      </c>
      <c r="B7713">
        <f>4136.54772156828*(3/4)</f>
        <v>3102.4107911762076</v>
      </c>
    </row>
    <row r="7714" spans="1:2" x14ac:dyDescent="0.3">
      <c r="A7714" s="2">
        <v>45979.333333333343</v>
      </c>
      <c r="B7714">
        <f>4210.67256857252*(3/4)</f>
        <v>3158.0044264293911</v>
      </c>
    </row>
    <row r="7715" spans="1:2" x14ac:dyDescent="0.3">
      <c r="A7715" s="2">
        <v>45979.375</v>
      </c>
      <c r="B7715">
        <f>4033.93467364705*(3/4)</f>
        <v>3025.4510052352839</v>
      </c>
    </row>
    <row r="7716" spans="1:2" x14ac:dyDescent="0.3">
      <c r="A7716" s="2">
        <v>45979.416666666657</v>
      </c>
      <c r="B7716">
        <f>4114.03094443087*(3/4)</f>
        <v>3085.5232083231558</v>
      </c>
    </row>
    <row r="7717" spans="1:2" x14ac:dyDescent="0.3">
      <c r="A7717" s="2">
        <v>45979.458333333343</v>
      </c>
      <c r="B7717">
        <f>4192.49038455222*(3/4)</f>
        <v>3144.3677884141625</v>
      </c>
    </row>
    <row r="7718" spans="1:2" x14ac:dyDescent="0.3">
      <c r="A7718" s="2">
        <v>45979.5</v>
      </c>
      <c r="B7718">
        <f>4165.65133422341*(3/4)</f>
        <v>3124.2385006675586</v>
      </c>
    </row>
    <row r="7719" spans="1:2" x14ac:dyDescent="0.3">
      <c r="A7719" s="2">
        <v>45979.541666666657</v>
      </c>
      <c r="B7719">
        <f>3956.65583656247*(3/4)</f>
        <v>2967.4918774218495</v>
      </c>
    </row>
    <row r="7720" spans="1:2" x14ac:dyDescent="0.3">
      <c r="A7720" s="2">
        <v>45979.583333333343</v>
      </c>
      <c r="B7720">
        <f>4053.66606031775*(3/4)</f>
        <v>3040.2495452383141</v>
      </c>
    </row>
    <row r="7721" spans="1:2" x14ac:dyDescent="0.3">
      <c r="A7721" s="2">
        <v>45979.625</v>
      </c>
      <c r="B7721">
        <f>4170.71898924972*(3/4)</f>
        <v>3128.0392419372929</v>
      </c>
    </row>
    <row r="7722" spans="1:2" x14ac:dyDescent="0.3">
      <c r="A7722" s="2">
        <v>45979.666666666657</v>
      </c>
      <c r="B7722">
        <f>4101.80627633994*(3/4)</f>
        <v>3076.3547072549545</v>
      </c>
    </row>
    <row r="7723" spans="1:2" x14ac:dyDescent="0.3">
      <c r="A7723" s="2">
        <v>45979.708333333343</v>
      </c>
      <c r="B7723">
        <f>3973.53041767066*(3/4)</f>
        <v>2980.1478132529937</v>
      </c>
    </row>
    <row r="7724" spans="1:2" x14ac:dyDescent="0.3">
      <c r="A7724" s="2">
        <v>45979.75</v>
      </c>
      <c r="B7724">
        <f>3980.26556765962*(3/4)</f>
        <v>2985.1991757447122</v>
      </c>
    </row>
    <row r="7725" spans="1:2" x14ac:dyDescent="0.3">
      <c r="A7725" s="2">
        <v>45979.791666666657</v>
      </c>
      <c r="B7725">
        <f>4073.27202326105*(3/4)</f>
        <v>3054.9540174457852</v>
      </c>
    </row>
    <row r="7726" spans="1:2" x14ac:dyDescent="0.3">
      <c r="A7726" s="2">
        <v>45979.833333333343</v>
      </c>
      <c r="B7726">
        <f>4300.40243589742*(3/4)</f>
        <v>3225.3018269230615</v>
      </c>
    </row>
    <row r="7727" spans="1:2" x14ac:dyDescent="0.3">
      <c r="A7727" s="2">
        <v>45979.875</v>
      </c>
      <c r="B7727">
        <f>3987.04830457257*(3/4)</f>
        <v>2990.2862284294283</v>
      </c>
    </row>
    <row r="7728" spans="1:2" x14ac:dyDescent="0.3">
      <c r="A7728" s="2">
        <v>45979.916666666657</v>
      </c>
      <c r="B7728">
        <f>3699.9904849027*(3/4)</f>
        <v>2774.9928636770278</v>
      </c>
    </row>
    <row r="7729" spans="1:2" x14ac:dyDescent="0.3">
      <c r="A7729" s="2">
        <v>45979.958333333343</v>
      </c>
      <c r="B7729">
        <f>3710.25855026799*(3/4)</f>
        <v>2782.6939127009932</v>
      </c>
    </row>
    <row r="7730" spans="1:2" x14ac:dyDescent="0.3">
      <c r="A7730" s="2">
        <v>45980</v>
      </c>
      <c r="B7730">
        <f>4021.23044204064*(3/4)</f>
        <v>3015.9228315304831</v>
      </c>
    </row>
    <row r="7731" spans="1:2" x14ac:dyDescent="0.3">
      <c r="A7731" s="2">
        <v>45980.041666666657</v>
      </c>
      <c r="B7731">
        <f>3704.48231516895*(3/4)</f>
        <v>2778.3617363767148</v>
      </c>
    </row>
    <row r="7732" spans="1:2" x14ac:dyDescent="0.3">
      <c r="A7732" s="2">
        <v>45980.083333333343</v>
      </c>
      <c r="B7732">
        <f>4140.97030405557*(3/4)</f>
        <v>3105.7277280416765</v>
      </c>
    </row>
    <row r="7733" spans="1:2" x14ac:dyDescent="0.3">
      <c r="A7733" s="2">
        <v>45980.125</v>
      </c>
      <c r="B7733">
        <f>4103.48900497666*(3/4)</f>
        <v>3077.6167537324982</v>
      </c>
    </row>
    <row r="7734" spans="1:2" x14ac:dyDescent="0.3">
      <c r="A7734" s="2">
        <v>45980.166666666657</v>
      </c>
      <c r="B7734">
        <f>3991.78601052153*(3/4)</f>
        <v>2993.8395078911512</v>
      </c>
    </row>
    <row r="7735" spans="1:2" x14ac:dyDescent="0.3">
      <c r="A7735" s="2">
        <v>45980.208333333343</v>
      </c>
      <c r="B7735">
        <f>3818.24541840118*(3/4)</f>
        <v>2863.6840638008816</v>
      </c>
    </row>
    <row r="7736" spans="1:2" x14ac:dyDescent="0.3">
      <c r="A7736" s="2">
        <v>45980.25</v>
      </c>
      <c r="B7736">
        <f>3667.33620408479*(3/4)</f>
        <v>2750.5021530635945</v>
      </c>
    </row>
    <row r="7737" spans="1:2" x14ac:dyDescent="0.3">
      <c r="A7737" s="2">
        <v>45980.291666666657</v>
      </c>
      <c r="B7737">
        <f>3848.60588053319*(3/4)</f>
        <v>2886.4544103998956</v>
      </c>
    </row>
    <row r="7738" spans="1:2" x14ac:dyDescent="0.3">
      <c r="A7738" s="2">
        <v>45980.333333333343</v>
      </c>
      <c r="B7738">
        <f>3957.26880285456*(3/4)</f>
        <v>2967.9516021409218</v>
      </c>
    </row>
    <row r="7739" spans="1:2" x14ac:dyDescent="0.3">
      <c r="A7739" s="2">
        <v>45980.375</v>
      </c>
      <c r="B7739">
        <f>4180.58679747676*(3/4)</f>
        <v>3135.4400981075723</v>
      </c>
    </row>
    <row r="7740" spans="1:2" x14ac:dyDescent="0.3">
      <c r="A7740" s="2">
        <v>45980.416666666657</v>
      </c>
      <c r="B7740">
        <f>3798.75481913451*(3/4)</f>
        <v>2849.066114350881</v>
      </c>
    </row>
    <row r="7741" spans="1:2" x14ac:dyDescent="0.3">
      <c r="A7741" s="2">
        <v>45980.458333333343</v>
      </c>
      <c r="B7741">
        <f>4013.91108243039*(3/4)</f>
        <v>3010.4333118227933</v>
      </c>
    </row>
    <row r="7742" spans="1:2" x14ac:dyDescent="0.3">
      <c r="A7742" s="2">
        <v>45980.5</v>
      </c>
      <c r="B7742">
        <f>4413.33338045257*(3/4)</f>
        <v>3310.0000353394248</v>
      </c>
    </row>
    <row r="7743" spans="1:2" x14ac:dyDescent="0.3">
      <c r="A7743" s="2">
        <v>45980.541666666657</v>
      </c>
      <c r="B7743">
        <f>4018.18037372521*(3/4)</f>
        <v>3013.6352802939091</v>
      </c>
    </row>
    <row r="7744" spans="1:2" x14ac:dyDescent="0.3">
      <c r="A7744" s="2">
        <v>45980.583333333343</v>
      </c>
      <c r="B7744">
        <f>3864.93014840022*(3/4)</f>
        <v>2898.697611300162</v>
      </c>
    </row>
    <row r="7745" spans="1:2" x14ac:dyDescent="0.3">
      <c r="A7745" s="2">
        <v>45980.625</v>
      </c>
      <c r="B7745">
        <f>4139.09973704642*(3/4)</f>
        <v>3104.3248027848131</v>
      </c>
    </row>
    <row r="7746" spans="1:2" x14ac:dyDescent="0.3">
      <c r="A7746" s="2">
        <v>45980.666666666657</v>
      </c>
      <c r="B7746">
        <f>4031.38439302945*(3/4)</f>
        <v>3023.5382947720859</v>
      </c>
    </row>
    <row r="7747" spans="1:2" x14ac:dyDescent="0.3">
      <c r="A7747" s="2">
        <v>45980.708333333343</v>
      </c>
      <c r="B7747">
        <f>4073.52436797727*(3/4)</f>
        <v>3055.1432759829518</v>
      </c>
    </row>
    <row r="7748" spans="1:2" x14ac:dyDescent="0.3">
      <c r="A7748" s="2">
        <v>45980.75</v>
      </c>
      <c r="B7748">
        <f>3930.20513286127*(3/4)</f>
        <v>2947.6538496459552</v>
      </c>
    </row>
    <row r="7749" spans="1:2" x14ac:dyDescent="0.3">
      <c r="A7749" s="2">
        <v>45980.791666666657</v>
      </c>
      <c r="B7749">
        <f>4187.50533500742*(3/4)</f>
        <v>3140.6290012555664</v>
      </c>
    </row>
    <row r="7750" spans="1:2" x14ac:dyDescent="0.3">
      <c r="A7750" s="2">
        <v>45980.833333333343</v>
      </c>
      <c r="B7750">
        <f>3306.27853269081*(3/4)</f>
        <v>2479.7088995181102</v>
      </c>
    </row>
    <row r="7751" spans="1:2" x14ac:dyDescent="0.3">
      <c r="A7751" s="2">
        <v>45980.875</v>
      </c>
      <c r="B7751">
        <f>3984.03682980835*(3/4)</f>
        <v>2988.027622356261</v>
      </c>
    </row>
    <row r="7752" spans="1:2" x14ac:dyDescent="0.3">
      <c r="A7752" s="2">
        <v>45980.916666666657</v>
      </c>
      <c r="B7752">
        <f>3939.45330599721*(3/4)</f>
        <v>2954.5899794979046</v>
      </c>
    </row>
    <row r="7753" spans="1:2" x14ac:dyDescent="0.3">
      <c r="A7753" s="2">
        <v>45980.958333333343</v>
      </c>
      <c r="B7753">
        <f>3957.42454562097*(3/4)</f>
        <v>2968.0684092157308</v>
      </c>
    </row>
    <row r="7754" spans="1:2" x14ac:dyDescent="0.3">
      <c r="A7754" s="2">
        <v>45981</v>
      </c>
      <c r="B7754">
        <f>4203.70459007794*(3/4)</f>
        <v>3152.7784425584587</v>
      </c>
    </row>
    <row r="7755" spans="1:2" x14ac:dyDescent="0.3">
      <c r="A7755" s="2">
        <v>45981.041666666657</v>
      </c>
      <c r="B7755">
        <f>3680.2690204112*(3/4)</f>
        <v>2760.2017653084031</v>
      </c>
    </row>
    <row r="7756" spans="1:2" x14ac:dyDescent="0.3">
      <c r="A7756" s="2">
        <v>45981.083333333343</v>
      </c>
      <c r="B7756">
        <f>3880.85003228193*(3/4)</f>
        <v>2910.6375242114473</v>
      </c>
    </row>
    <row r="7757" spans="1:2" x14ac:dyDescent="0.3">
      <c r="A7757" s="2">
        <v>45981.125</v>
      </c>
      <c r="B7757">
        <f>3997.13222300429*(3/4)</f>
        <v>2997.8491672532182</v>
      </c>
    </row>
    <row r="7758" spans="1:2" x14ac:dyDescent="0.3">
      <c r="A7758" s="2">
        <v>45981.166666666657</v>
      </c>
      <c r="B7758">
        <f>3695.84863208676*(3/4)</f>
        <v>2771.8864740650733</v>
      </c>
    </row>
    <row r="7759" spans="1:2" x14ac:dyDescent="0.3">
      <c r="A7759" s="2">
        <v>45981.208333333343</v>
      </c>
      <c r="B7759">
        <f>3667.64988716376*(3/4)</f>
        <v>2750.7374153728169</v>
      </c>
    </row>
    <row r="7760" spans="1:2" x14ac:dyDescent="0.3">
      <c r="A7760" s="2">
        <v>45981.25</v>
      </c>
      <c r="B7760">
        <f>3898.207858131*(3/4)</f>
        <v>2923.6558935982521</v>
      </c>
    </row>
    <row r="7761" spans="1:2" x14ac:dyDescent="0.3">
      <c r="A7761" s="2">
        <v>45981.291666666657</v>
      </c>
      <c r="B7761">
        <f>4280.37732219391*(3/4)</f>
        <v>3210.282991645433</v>
      </c>
    </row>
    <row r="7762" spans="1:2" x14ac:dyDescent="0.3">
      <c r="A7762" s="2">
        <v>45981.333333333343</v>
      </c>
      <c r="B7762">
        <f>4230.87664786262*(3/4)</f>
        <v>3173.1574858969634</v>
      </c>
    </row>
    <row r="7763" spans="1:2" x14ac:dyDescent="0.3">
      <c r="A7763" s="2">
        <v>45981.375</v>
      </c>
      <c r="B7763">
        <f>4326.84390502987*(3/4)</f>
        <v>3245.132928772402</v>
      </c>
    </row>
    <row r="7764" spans="1:2" x14ac:dyDescent="0.3">
      <c r="A7764" s="2">
        <v>45981.416666666657</v>
      </c>
      <c r="B7764">
        <f>4293.58959916616*(3/4)</f>
        <v>3220.19219937462</v>
      </c>
    </row>
    <row r="7765" spans="1:2" x14ac:dyDescent="0.3">
      <c r="A7765" s="2">
        <v>45981.458333333343</v>
      </c>
      <c r="B7765">
        <f>3868.98951802426*(3/4)</f>
        <v>2901.7421385181929</v>
      </c>
    </row>
    <row r="7766" spans="1:2" x14ac:dyDescent="0.3">
      <c r="A7766" s="2">
        <v>45981.5</v>
      </c>
      <c r="B7766">
        <f>4139.79749398242*(3/4)</f>
        <v>3104.8481204868158</v>
      </c>
    </row>
    <row r="7767" spans="1:2" x14ac:dyDescent="0.3">
      <c r="A7767" s="2">
        <v>45981.541666666657</v>
      </c>
      <c r="B7767">
        <f>3879.535399565*(3/4)</f>
        <v>2909.6515496737479</v>
      </c>
    </row>
    <row r="7768" spans="1:2" x14ac:dyDescent="0.3">
      <c r="A7768" s="2">
        <v>45981.583333333343</v>
      </c>
      <c r="B7768">
        <f>4052.19594280823*(3/4)</f>
        <v>3039.1469571061689</v>
      </c>
    </row>
    <row r="7769" spans="1:2" x14ac:dyDescent="0.3">
      <c r="A7769" s="2">
        <v>45981.625</v>
      </c>
      <c r="B7769">
        <f>4045.41398349898*(3/4)</f>
        <v>3034.0604876242319</v>
      </c>
    </row>
    <row r="7770" spans="1:2" x14ac:dyDescent="0.3">
      <c r="A7770" s="2">
        <v>45981.666666666657</v>
      </c>
      <c r="B7770">
        <f>3914.07336267313*(3/4)</f>
        <v>2935.5550220048499</v>
      </c>
    </row>
    <row r="7771" spans="1:2" x14ac:dyDescent="0.3">
      <c r="A7771" s="2">
        <v>45981.708333333343</v>
      </c>
      <c r="B7771">
        <f>4026.60271448381*(3/4)</f>
        <v>3019.9520358628592</v>
      </c>
    </row>
    <row r="7772" spans="1:2" x14ac:dyDescent="0.3">
      <c r="A7772" s="2">
        <v>45981.75</v>
      </c>
      <c r="B7772">
        <f>4236.20877627409*(3/4)</f>
        <v>3177.156582205565</v>
      </c>
    </row>
    <row r="7773" spans="1:2" x14ac:dyDescent="0.3">
      <c r="A7773" s="2">
        <v>45981.791666666657</v>
      </c>
      <c r="B7773">
        <f>4120.54125502255*(3/4)</f>
        <v>3090.4059412669094</v>
      </c>
    </row>
    <row r="7774" spans="1:2" x14ac:dyDescent="0.3">
      <c r="A7774" s="2">
        <v>45981.833333333343</v>
      </c>
      <c r="B7774">
        <f>4122.38261585283*(3/4)</f>
        <v>3091.786961889622</v>
      </c>
    </row>
    <row r="7775" spans="1:2" x14ac:dyDescent="0.3">
      <c r="A7775" s="2">
        <v>45981.875</v>
      </c>
      <c r="B7775">
        <f>4268.53318235459*(3/4)</f>
        <v>3201.3998867659402</v>
      </c>
    </row>
    <row r="7776" spans="1:2" x14ac:dyDescent="0.3">
      <c r="A7776" s="2">
        <v>45981.916666666657</v>
      </c>
      <c r="B7776">
        <f>3801.08704841157*(3/4)</f>
        <v>2850.8152863086766</v>
      </c>
    </row>
    <row r="7777" spans="1:2" x14ac:dyDescent="0.3">
      <c r="A7777" s="2">
        <v>45981.958333333343</v>
      </c>
      <c r="B7777">
        <f>3875.01908718898*(3/4)</f>
        <v>2906.2643153917343</v>
      </c>
    </row>
    <row r="7778" spans="1:2" x14ac:dyDescent="0.3">
      <c r="A7778" s="2">
        <v>45982</v>
      </c>
      <c r="B7778">
        <f>3569.2700591755*(3/4)</f>
        <v>2676.9525443816274</v>
      </c>
    </row>
    <row r="7779" spans="1:2" x14ac:dyDescent="0.3">
      <c r="A7779" s="2">
        <v>45982.041666666657</v>
      </c>
      <c r="B7779">
        <f>4223.62490291825*(3/4)</f>
        <v>3167.7186771886891</v>
      </c>
    </row>
    <row r="7780" spans="1:2" x14ac:dyDescent="0.3">
      <c r="A7780" s="2">
        <v>45982.083333333343</v>
      </c>
      <c r="B7780">
        <f>3923.60131334991*(3/4)</f>
        <v>2942.7009850124318</v>
      </c>
    </row>
    <row r="7781" spans="1:2" x14ac:dyDescent="0.3">
      <c r="A7781" s="2">
        <v>45982.125</v>
      </c>
      <c r="B7781">
        <f>3961.47638240467*(3/4)</f>
        <v>2971.1072868035003</v>
      </c>
    </row>
    <row r="7782" spans="1:2" x14ac:dyDescent="0.3">
      <c r="A7782" s="2">
        <v>45982.166666666657</v>
      </c>
      <c r="B7782">
        <f>4133.08975137705*(3/4)</f>
        <v>3099.8173135327897</v>
      </c>
    </row>
    <row r="7783" spans="1:2" x14ac:dyDescent="0.3">
      <c r="A7783" s="2">
        <v>45982.208333333343</v>
      </c>
      <c r="B7783">
        <f>3647.59111399795*(3/4)</f>
        <v>2735.6933354984603</v>
      </c>
    </row>
    <row r="7784" spans="1:2" x14ac:dyDescent="0.3">
      <c r="A7784" s="2">
        <v>45982.25</v>
      </c>
      <c r="B7784">
        <f>3761.5835054435*(3/4)</f>
        <v>2821.1876290826222</v>
      </c>
    </row>
    <row r="7785" spans="1:2" x14ac:dyDescent="0.3">
      <c r="A7785" s="2">
        <v>45982.291666666657</v>
      </c>
      <c r="B7785">
        <f>3986.006813238*(3/4)</f>
        <v>2989.5051099284965</v>
      </c>
    </row>
    <row r="7786" spans="1:2" x14ac:dyDescent="0.3">
      <c r="A7786" s="2">
        <v>45982.333333333343</v>
      </c>
      <c r="B7786">
        <f>4267.55846799201*(3/4)</f>
        <v>3200.6688509940077</v>
      </c>
    </row>
    <row r="7787" spans="1:2" x14ac:dyDescent="0.3">
      <c r="A7787" s="2">
        <v>45982.375</v>
      </c>
      <c r="B7787">
        <f>3811.84753229017*(3/4)</f>
        <v>2858.8856492176283</v>
      </c>
    </row>
    <row r="7788" spans="1:2" x14ac:dyDescent="0.3">
      <c r="A7788" s="2">
        <v>45982.416666666657</v>
      </c>
      <c r="B7788">
        <f>4109.77685594699*(3/4)</f>
        <v>3082.3326419602436</v>
      </c>
    </row>
    <row r="7789" spans="1:2" x14ac:dyDescent="0.3">
      <c r="A7789" s="2">
        <v>45982.458333333343</v>
      </c>
      <c r="B7789">
        <f>4319.59642413789*(3/4)</f>
        <v>3239.6973181034164</v>
      </c>
    </row>
    <row r="7790" spans="1:2" x14ac:dyDescent="0.3">
      <c r="A7790" s="2">
        <v>45982.5</v>
      </c>
      <c r="B7790">
        <f>4336.36916013602*(3/4)</f>
        <v>3252.2768701020177</v>
      </c>
    </row>
    <row r="7791" spans="1:2" x14ac:dyDescent="0.3">
      <c r="A7791" s="2">
        <v>45982.541666666657</v>
      </c>
      <c r="B7791">
        <f>3965.6326343983*(3/4)</f>
        <v>2974.2244757987255</v>
      </c>
    </row>
    <row r="7792" spans="1:2" x14ac:dyDescent="0.3">
      <c r="A7792" s="2">
        <v>45982.583333333343</v>
      </c>
      <c r="B7792">
        <f>3860.76968724862*(3/4)</f>
        <v>2895.5772654364673</v>
      </c>
    </row>
    <row r="7793" spans="1:2" x14ac:dyDescent="0.3">
      <c r="A7793" s="2">
        <v>45982.625</v>
      </c>
      <c r="B7793">
        <f>3912.00540894575*(3/4)</f>
        <v>2934.004056709312</v>
      </c>
    </row>
    <row r="7794" spans="1:2" x14ac:dyDescent="0.3">
      <c r="A7794" s="2">
        <v>45982.666666666657</v>
      </c>
      <c r="B7794">
        <f>4295.04015627215*(3/4)</f>
        <v>3221.2801172041118</v>
      </c>
    </row>
    <row r="7795" spans="1:2" x14ac:dyDescent="0.3">
      <c r="A7795" s="2">
        <v>45982.708333333343</v>
      </c>
      <c r="B7795">
        <f>4183.4129959868*(3/4)</f>
        <v>3137.5597469901013</v>
      </c>
    </row>
    <row r="7796" spans="1:2" x14ac:dyDescent="0.3">
      <c r="A7796" s="2">
        <v>45982.75</v>
      </c>
      <c r="B7796">
        <f>4296.41884913377*(3/4)</f>
        <v>3222.3141368503257</v>
      </c>
    </row>
    <row r="7797" spans="1:2" x14ac:dyDescent="0.3">
      <c r="A7797" s="2">
        <v>45982.791666666657</v>
      </c>
      <c r="B7797">
        <f>4015.80293317797*(3/4)</f>
        <v>3011.8521998834799</v>
      </c>
    </row>
    <row r="7798" spans="1:2" x14ac:dyDescent="0.3">
      <c r="A7798" s="2">
        <v>45982.833333333343</v>
      </c>
      <c r="B7798">
        <f>3855.24581182876*(3/4)</f>
        <v>2891.4343588715728</v>
      </c>
    </row>
    <row r="7799" spans="1:2" x14ac:dyDescent="0.3">
      <c r="A7799" s="2">
        <v>45982.875</v>
      </c>
      <c r="B7799">
        <f>4013.41101300203*(3/4)</f>
        <v>3010.0582597515231</v>
      </c>
    </row>
    <row r="7800" spans="1:2" x14ac:dyDescent="0.3">
      <c r="A7800" s="2">
        <v>45982.916666666657</v>
      </c>
      <c r="B7800">
        <f>3727.83931077017*(3/4)</f>
        <v>2795.8794830776242</v>
      </c>
    </row>
    <row r="7801" spans="1:2" x14ac:dyDescent="0.3">
      <c r="A7801" s="2">
        <v>45982.958333333343</v>
      </c>
      <c r="B7801">
        <f>4206.38168675703*(3/4)</f>
        <v>3154.7862650677735</v>
      </c>
    </row>
    <row r="7802" spans="1:2" x14ac:dyDescent="0.3">
      <c r="A7802" s="2">
        <v>45983</v>
      </c>
      <c r="B7802">
        <f>4106.2597237187*(3/4)</f>
        <v>3079.6947927890233</v>
      </c>
    </row>
    <row r="7803" spans="1:2" x14ac:dyDescent="0.3">
      <c r="A7803" s="2">
        <v>45983.041666666657</v>
      </c>
      <c r="B7803">
        <f>3806.25853272295*(3/4)</f>
        <v>2854.6938995422142</v>
      </c>
    </row>
    <row r="7804" spans="1:2" x14ac:dyDescent="0.3">
      <c r="A7804" s="2">
        <v>45983.083333333343</v>
      </c>
      <c r="B7804">
        <f>3928.93536199336*(3/4)</f>
        <v>2946.7015214950225</v>
      </c>
    </row>
    <row r="7805" spans="1:2" x14ac:dyDescent="0.3">
      <c r="A7805" s="2">
        <v>45983.125</v>
      </c>
      <c r="B7805">
        <f>3784.48404596786*(3/4)</f>
        <v>2838.3630344758935</v>
      </c>
    </row>
    <row r="7806" spans="1:2" x14ac:dyDescent="0.3">
      <c r="A7806" s="2">
        <v>45983.166666666657</v>
      </c>
      <c r="B7806">
        <f>4230.52024073713*(3/4)</f>
        <v>3172.8901805528458</v>
      </c>
    </row>
    <row r="7807" spans="1:2" x14ac:dyDescent="0.3">
      <c r="A7807" s="2">
        <v>45983.208333333343</v>
      </c>
      <c r="B7807">
        <f>3682.16858408305*(3/4)</f>
        <v>2761.6264380622838</v>
      </c>
    </row>
    <row r="7808" spans="1:2" x14ac:dyDescent="0.3">
      <c r="A7808" s="2">
        <v>45983.25</v>
      </c>
      <c r="B7808">
        <f>3661.32701410394*(3/4)</f>
        <v>2745.9952605779554</v>
      </c>
    </row>
    <row r="7809" spans="1:2" x14ac:dyDescent="0.3">
      <c r="A7809" s="2">
        <v>45983.291666666657</v>
      </c>
      <c r="B7809">
        <f>3970.41862473795*(3/4)</f>
        <v>2977.8139685534611</v>
      </c>
    </row>
    <row r="7810" spans="1:2" x14ac:dyDescent="0.3">
      <c r="A7810" s="2">
        <v>45983.333333333343</v>
      </c>
      <c r="B7810">
        <f>3954.53709233137*(3/4)</f>
        <v>2965.9028192485262</v>
      </c>
    </row>
    <row r="7811" spans="1:2" x14ac:dyDescent="0.3">
      <c r="A7811" s="2">
        <v>45983.375</v>
      </c>
      <c r="B7811">
        <f>4053.16955389909*(3/4)</f>
        <v>3039.8771654243146</v>
      </c>
    </row>
    <row r="7812" spans="1:2" x14ac:dyDescent="0.3">
      <c r="A7812" s="2">
        <v>45983.416666666657</v>
      </c>
      <c r="B7812">
        <f>4205.79814297386*(3/4)</f>
        <v>3154.3486072303922</v>
      </c>
    </row>
    <row r="7813" spans="1:2" x14ac:dyDescent="0.3">
      <c r="A7813" s="2">
        <v>45983.458333333343</v>
      </c>
      <c r="B7813">
        <f>3967.58970059188*(3/4)</f>
        <v>2975.692275443912</v>
      </c>
    </row>
    <row r="7814" spans="1:2" x14ac:dyDescent="0.3">
      <c r="A7814" s="2">
        <v>45983.5</v>
      </c>
      <c r="B7814">
        <f>4226.85574534852*(3/4)</f>
        <v>3170.1418090113907</v>
      </c>
    </row>
    <row r="7815" spans="1:2" x14ac:dyDescent="0.3">
      <c r="A7815" s="2">
        <v>45983.541666666657</v>
      </c>
      <c r="B7815">
        <f>4139.39775159074*(3/4)</f>
        <v>3104.5483136930579</v>
      </c>
    </row>
    <row r="7816" spans="1:2" x14ac:dyDescent="0.3">
      <c r="A7816" s="2">
        <v>45983.583333333343</v>
      </c>
      <c r="B7816">
        <f>3744.89322191194*(3/4)</f>
        <v>2808.669916433958</v>
      </c>
    </row>
    <row r="7817" spans="1:2" x14ac:dyDescent="0.3">
      <c r="A7817" s="2">
        <v>45983.625</v>
      </c>
      <c r="B7817">
        <f>4239.51590255873*(3/4)</f>
        <v>3179.63692691905</v>
      </c>
    </row>
    <row r="7818" spans="1:2" x14ac:dyDescent="0.3">
      <c r="A7818" s="2">
        <v>45983.666666666657</v>
      </c>
      <c r="B7818">
        <f>4099.87164612117*(3/4)</f>
        <v>3074.903734590876</v>
      </c>
    </row>
    <row r="7819" spans="1:2" x14ac:dyDescent="0.3">
      <c r="A7819" s="2">
        <v>45983.708333333343</v>
      </c>
      <c r="B7819">
        <f>3765.2666492672*(3/4)</f>
        <v>2823.9499869504029</v>
      </c>
    </row>
    <row r="7820" spans="1:2" x14ac:dyDescent="0.3">
      <c r="A7820" s="2">
        <v>45983.75</v>
      </c>
      <c r="B7820">
        <f>3973.38867870919*(3/4)</f>
        <v>2980.0415090318902</v>
      </c>
    </row>
    <row r="7821" spans="1:2" x14ac:dyDescent="0.3">
      <c r="A7821" s="2">
        <v>45983.791666666657</v>
      </c>
      <c r="B7821">
        <f>3913.60790465159*(3/4)</f>
        <v>2935.2059284886909</v>
      </c>
    </row>
    <row r="7822" spans="1:2" x14ac:dyDescent="0.3">
      <c r="A7822" s="2">
        <v>45983.833333333343</v>
      </c>
      <c r="B7822">
        <f>4185.93895126054*(3/4)</f>
        <v>3139.4542134454086</v>
      </c>
    </row>
    <row r="7823" spans="1:2" x14ac:dyDescent="0.3">
      <c r="A7823" s="2">
        <v>45983.875</v>
      </c>
      <c r="B7823">
        <f>3856.48771350295*(3/4)</f>
        <v>2892.3657851272133</v>
      </c>
    </row>
    <row r="7824" spans="1:2" x14ac:dyDescent="0.3">
      <c r="A7824" s="2">
        <v>45983.916666666657</v>
      </c>
      <c r="B7824">
        <f>3956.42170403669*(3/4)</f>
        <v>2967.3162780275184</v>
      </c>
    </row>
    <row r="7825" spans="1:2" x14ac:dyDescent="0.3">
      <c r="A7825" s="2">
        <v>45983.958333333343</v>
      </c>
      <c r="B7825">
        <f>3773.82950619027*(3/4)</f>
        <v>2830.3721296427057</v>
      </c>
    </row>
    <row r="7826" spans="1:2" x14ac:dyDescent="0.3">
      <c r="A7826" s="2">
        <v>45984</v>
      </c>
      <c r="B7826">
        <f>4048.59886512706*(3/4)</f>
        <v>3036.4491488452986</v>
      </c>
    </row>
    <row r="7827" spans="1:2" x14ac:dyDescent="0.3">
      <c r="A7827" s="2">
        <v>45984.041666666657</v>
      </c>
      <c r="B7827">
        <f>3698.99988505215*(3/4)</f>
        <v>2774.2499137891155</v>
      </c>
    </row>
    <row r="7828" spans="1:2" x14ac:dyDescent="0.3">
      <c r="A7828" s="2">
        <v>45984.083333333343</v>
      </c>
      <c r="B7828">
        <f>3866.27080967559*(3/4)</f>
        <v>2899.7031072566897</v>
      </c>
    </row>
    <row r="7829" spans="1:2" x14ac:dyDescent="0.3">
      <c r="A7829" s="2">
        <v>45984.125</v>
      </c>
      <c r="B7829">
        <f>3739.51833615803*(3/4)</f>
        <v>2804.6387521185216</v>
      </c>
    </row>
    <row r="7830" spans="1:2" x14ac:dyDescent="0.3">
      <c r="A7830" s="2">
        <v>45984.166666666657</v>
      </c>
      <c r="B7830">
        <f>4141.94245040497*(3/4)</f>
        <v>3106.4568378037275</v>
      </c>
    </row>
    <row r="7831" spans="1:2" x14ac:dyDescent="0.3">
      <c r="A7831" s="2">
        <v>45984.208333333343</v>
      </c>
      <c r="B7831">
        <f>3953.49954858327*(3/4)</f>
        <v>2965.1246614374495</v>
      </c>
    </row>
    <row r="7832" spans="1:2" x14ac:dyDescent="0.3">
      <c r="A7832" s="2">
        <v>45984.25</v>
      </c>
      <c r="B7832">
        <f>3745.60295749116*(3/4)</f>
        <v>2809.2022181183693</v>
      </c>
    </row>
    <row r="7833" spans="1:2" x14ac:dyDescent="0.3">
      <c r="A7833" s="2">
        <v>45984.291666666657</v>
      </c>
      <c r="B7833">
        <f>4060.47517259084*(3/4)</f>
        <v>3045.3563794431302</v>
      </c>
    </row>
    <row r="7834" spans="1:2" x14ac:dyDescent="0.3">
      <c r="A7834" s="2">
        <v>45984.333333333343</v>
      </c>
      <c r="B7834">
        <f>3186.45088321957*(3/4)</f>
        <v>2389.8381624146791</v>
      </c>
    </row>
    <row r="7835" spans="1:2" x14ac:dyDescent="0.3">
      <c r="A7835" s="2">
        <v>45984.375</v>
      </c>
      <c r="B7835">
        <f>3310.14516132048*(3/4)</f>
        <v>2482.6088709903624</v>
      </c>
    </row>
    <row r="7836" spans="1:2" x14ac:dyDescent="0.3">
      <c r="A7836" s="2">
        <v>45984.416666666657</v>
      </c>
      <c r="B7836">
        <f>2986.76538004329*(3/4)</f>
        <v>2240.0740350324659</v>
      </c>
    </row>
    <row r="7837" spans="1:2" x14ac:dyDescent="0.3">
      <c r="A7837" s="2">
        <v>45984.458333333343</v>
      </c>
      <c r="B7837">
        <f>3352.04325024294*(3/4)</f>
        <v>2514.0324376822036</v>
      </c>
    </row>
    <row r="7838" spans="1:2" x14ac:dyDescent="0.3">
      <c r="A7838" s="2">
        <v>45984.5</v>
      </c>
      <c r="B7838">
        <f>3398.37648797095*(3/4)</f>
        <v>2548.7823659782134</v>
      </c>
    </row>
    <row r="7839" spans="1:2" x14ac:dyDescent="0.3">
      <c r="A7839" s="2">
        <v>45984.541666666657</v>
      </c>
      <c r="B7839">
        <f>3240.66949266018*(3/4)</f>
        <v>2430.5021194951378</v>
      </c>
    </row>
    <row r="7840" spans="1:2" x14ac:dyDescent="0.3">
      <c r="A7840" s="2">
        <v>45984.583333333343</v>
      </c>
      <c r="B7840">
        <f>3041.16573673666*(3/4)</f>
        <v>2280.8743025524959</v>
      </c>
    </row>
    <row r="7841" spans="1:2" x14ac:dyDescent="0.3">
      <c r="A7841" s="2">
        <v>45984.625</v>
      </c>
      <c r="B7841">
        <f>3252.78911924961*(3/4)</f>
        <v>2439.5918394372043</v>
      </c>
    </row>
    <row r="7842" spans="1:2" x14ac:dyDescent="0.3">
      <c r="A7842" s="2">
        <v>45984.666666666657</v>
      </c>
      <c r="B7842">
        <f>3139.57608354535*(3/4)</f>
        <v>2354.6820626590115</v>
      </c>
    </row>
    <row r="7843" spans="1:2" x14ac:dyDescent="0.3">
      <c r="A7843" s="2">
        <v>45984.708333333343</v>
      </c>
      <c r="B7843">
        <f>4146.94823716439*(3/4)</f>
        <v>3110.2111778732897</v>
      </c>
    </row>
    <row r="7844" spans="1:2" x14ac:dyDescent="0.3">
      <c r="A7844" s="2">
        <v>45984.75</v>
      </c>
      <c r="B7844">
        <f>4297.45182257763*(3/4)</f>
        <v>3223.0888669332244</v>
      </c>
    </row>
    <row r="7845" spans="1:2" x14ac:dyDescent="0.3">
      <c r="A7845" s="2">
        <v>45984.791666666657</v>
      </c>
      <c r="B7845">
        <f>4052.00785573897*(3/4)</f>
        <v>3039.0058918042268</v>
      </c>
    </row>
    <row r="7846" spans="1:2" x14ac:dyDescent="0.3">
      <c r="A7846" s="2">
        <v>45984.833333333343</v>
      </c>
      <c r="B7846">
        <f>3781.33843788816*(3/4)</f>
        <v>2836.0038284161169</v>
      </c>
    </row>
    <row r="7847" spans="1:2" x14ac:dyDescent="0.3">
      <c r="A7847" s="2">
        <v>45984.875</v>
      </c>
      <c r="B7847">
        <f>4150.73593247519*(3/4)</f>
        <v>3113.0519493563952</v>
      </c>
    </row>
    <row r="7848" spans="1:2" x14ac:dyDescent="0.3">
      <c r="A7848" s="2">
        <v>45984.916666666657</v>
      </c>
      <c r="B7848">
        <f>3958.90994947465*(3/4)</f>
        <v>2969.182462105985</v>
      </c>
    </row>
    <row r="7849" spans="1:2" x14ac:dyDescent="0.3">
      <c r="A7849" s="2">
        <v>45984.958333333343</v>
      </c>
      <c r="B7849">
        <f>4142.65144364293*(3/4)</f>
        <v>3106.9885827321968</v>
      </c>
    </row>
    <row r="7850" spans="1:2" x14ac:dyDescent="0.3">
      <c r="A7850" s="2">
        <v>45985</v>
      </c>
      <c r="B7850">
        <f>3567.26534016227*(3/4)</f>
        <v>2675.4490051217053</v>
      </c>
    </row>
    <row r="7851" spans="1:2" x14ac:dyDescent="0.3">
      <c r="A7851" s="2">
        <v>45985.041666666657</v>
      </c>
      <c r="B7851">
        <f>4106.51161968641*(3/4)</f>
        <v>3079.8837147648101</v>
      </c>
    </row>
    <row r="7852" spans="1:2" x14ac:dyDescent="0.3">
      <c r="A7852" s="2">
        <v>45985.083333333343</v>
      </c>
      <c r="B7852">
        <f>4003.42911610311*(3/4)</f>
        <v>3002.5718370773357</v>
      </c>
    </row>
    <row r="7853" spans="1:2" x14ac:dyDescent="0.3">
      <c r="A7853" s="2">
        <v>45985.125</v>
      </c>
      <c r="B7853">
        <f>4089.47956346866*(3/4)</f>
        <v>3067.1096726014966</v>
      </c>
    </row>
    <row r="7854" spans="1:2" x14ac:dyDescent="0.3">
      <c r="A7854" s="2">
        <v>45985.166666666657</v>
      </c>
      <c r="B7854">
        <f>3857.70241743886*(3/4)</f>
        <v>2893.2768130791478</v>
      </c>
    </row>
    <row r="7855" spans="1:2" x14ac:dyDescent="0.3">
      <c r="A7855" s="2">
        <v>45985.208333333343</v>
      </c>
      <c r="B7855">
        <f>3927.4146317886*(3/4)</f>
        <v>2945.5609738414478</v>
      </c>
    </row>
    <row r="7856" spans="1:2" x14ac:dyDescent="0.3">
      <c r="A7856" s="2">
        <v>45985.25</v>
      </c>
      <c r="B7856">
        <f>4064.16830264651*(3/4)</f>
        <v>3048.1262269848817</v>
      </c>
    </row>
    <row r="7857" spans="1:2" x14ac:dyDescent="0.3">
      <c r="A7857" s="2">
        <v>45985.291666666657</v>
      </c>
      <c r="B7857">
        <f>4001.02092190622*(3/4)</f>
        <v>3000.7656914296672</v>
      </c>
    </row>
    <row r="7858" spans="1:2" x14ac:dyDescent="0.3">
      <c r="A7858" s="2">
        <v>45985.333333333343</v>
      </c>
      <c r="B7858">
        <f>4426.64912944294*(3/4)</f>
        <v>3319.9868470822039</v>
      </c>
    </row>
    <row r="7859" spans="1:2" x14ac:dyDescent="0.3">
      <c r="A7859" s="2">
        <v>45985.375</v>
      </c>
      <c r="B7859">
        <f>3917.36607557496*(3/4)</f>
        <v>2938.0245566812173</v>
      </c>
    </row>
    <row r="7860" spans="1:2" x14ac:dyDescent="0.3">
      <c r="A7860" s="2">
        <v>45985.416666666657</v>
      </c>
      <c r="B7860">
        <f>4241.24043290078*(3/4)</f>
        <v>3180.930324675584</v>
      </c>
    </row>
    <row r="7861" spans="1:2" x14ac:dyDescent="0.3">
      <c r="A7861" s="2">
        <v>45985.458333333343</v>
      </c>
      <c r="B7861">
        <f>3937.64308252269*(3/4)</f>
        <v>2953.2323118920149</v>
      </c>
    </row>
    <row r="7862" spans="1:2" x14ac:dyDescent="0.3">
      <c r="A7862" s="2">
        <v>45985.5</v>
      </c>
      <c r="B7862">
        <f>4269.94193534824*(3/4)</f>
        <v>3202.4564515111806</v>
      </c>
    </row>
    <row r="7863" spans="1:2" x14ac:dyDescent="0.3">
      <c r="A7863" s="2">
        <v>45985.541666666657</v>
      </c>
      <c r="B7863">
        <f>4057.42102861858*(3/4)</f>
        <v>3043.0657714639378</v>
      </c>
    </row>
    <row r="7864" spans="1:2" x14ac:dyDescent="0.3">
      <c r="A7864" s="2">
        <v>45985.583333333343</v>
      </c>
      <c r="B7864">
        <f>3663.27519186702*(3/4)</f>
        <v>2747.4563939002664</v>
      </c>
    </row>
    <row r="7865" spans="1:2" x14ac:dyDescent="0.3">
      <c r="A7865" s="2">
        <v>45985.625</v>
      </c>
      <c r="B7865">
        <f>4231.95238533541*(3/4)</f>
        <v>3173.9642890015575</v>
      </c>
    </row>
    <row r="7866" spans="1:2" x14ac:dyDescent="0.3">
      <c r="A7866" s="2">
        <v>45985.666666666657</v>
      </c>
      <c r="B7866">
        <f>3822.37043359869*(3/4)</f>
        <v>2866.7778251990194</v>
      </c>
    </row>
    <row r="7867" spans="1:2" x14ac:dyDescent="0.3">
      <c r="A7867" s="2">
        <v>45985.708333333343</v>
      </c>
      <c r="B7867">
        <f>3991.73331325754*(3/4)</f>
        <v>2993.7999849431562</v>
      </c>
    </row>
    <row r="7868" spans="1:2" x14ac:dyDescent="0.3">
      <c r="A7868" s="2">
        <v>45985.75</v>
      </c>
      <c r="B7868">
        <f>4250.14159007623*(3/4)</f>
        <v>3187.606192557173</v>
      </c>
    </row>
    <row r="7869" spans="1:2" x14ac:dyDescent="0.3">
      <c r="A7869" s="2">
        <v>45985.791666666657</v>
      </c>
      <c r="B7869">
        <f>4250.5176915534*(3/4)</f>
        <v>3187.8882686650486</v>
      </c>
    </row>
    <row r="7870" spans="1:2" x14ac:dyDescent="0.3">
      <c r="A7870" s="2">
        <v>45985.833333333343</v>
      </c>
      <c r="B7870">
        <f>4011.14634274903*(3/4)</f>
        <v>3008.3597570617703</v>
      </c>
    </row>
    <row r="7871" spans="1:2" x14ac:dyDescent="0.3">
      <c r="A7871" s="2">
        <v>45985.875</v>
      </c>
      <c r="B7871">
        <f>3921.30948381435*(3/4)</f>
        <v>2940.98211286076</v>
      </c>
    </row>
    <row r="7872" spans="1:2" x14ac:dyDescent="0.3">
      <c r="A7872" s="2">
        <v>45985.916666666657</v>
      </c>
      <c r="B7872">
        <f>4034.05492052972*(3/4)</f>
        <v>3025.5411903972899</v>
      </c>
    </row>
    <row r="7873" spans="1:2" x14ac:dyDescent="0.3">
      <c r="A7873" s="2">
        <v>45985.958333333343</v>
      </c>
      <c r="B7873">
        <f>3915.45052858438*(3/4)</f>
        <v>2936.5878964382814</v>
      </c>
    </row>
    <row r="7874" spans="1:2" x14ac:dyDescent="0.3">
      <c r="A7874" s="2">
        <v>45986</v>
      </c>
      <c r="B7874">
        <f>4091.51291272217*(3/4)</f>
        <v>3068.6346845416306</v>
      </c>
    </row>
    <row r="7875" spans="1:2" x14ac:dyDescent="0.3">
      <c r="A7875" s="2">
        <v>45986.041666666657</v>
      </c>
      <c r="B7875">
        <f>4001.88340425727*(3/4)</f>
        <v>3001.412553192954</v>
      </c>
    </row>
    <row r="7876" spans="1:2" x14ac:dyDescent="0.3">
      <c r="A7876" s="2">
        <v>45986.083333333343</v>
      </c>
      <c r="B7876">
        <f>4029.8926838491*(3/4)</f>
        <v>3022.4195128868241</v>
      </c>
    </row>
    <row r="7877" spans="1:2" x14ac:dyDescent="0.3">
      <c r="A7877" s="2">
        <v>45986.125</v>
      </c>
      <c r="B7877">
        <f>3890.15364523223*(3/4)</f>
        <v>2917.6152339241739</v>
      </c>
    </row>
    <row r="7878" spans="1:2" x14ac:dyDescent="0.3">
      <c r="A7878" s="2">
        <v>45986.166666666657</v>
      </c>
      <c r="B7878">
        <f>4016.84612631075*(3/4)</f>
        <v>3012.6345947330638</v>
      </c>
    </row>
    <row r="7879" spans="1:2" x14ac:dyDescent="0.3">
      <c r="A7879" s="2">
        <v>45986.208333333343</v>
      </c>
      <c r="B7879">
        <f>4117.00201499775*(3/4)</f>
        <v>3087.7515112483134</v>
      </c>
    </row>
    <row r="7880" spans="1:2" x14ac:dyDescent="0.3">
      <c r="A7880" s="2">
        <v>45986.25</v>
      </c>
      <c r="B7880">
        <f>3896.88822808055*(3/4)</f>
        <v>2922.6661710604126</v>
      </c>
    </row>
    <row r="7881" spans="1:2" x14ac:dyDescent="0.3">
      <c r="A7881" s="2">
        <v>45986.291666666657</v>
      </c>
      <c r="B7881">
        <f>3996.47672770389*(3/4)</f>
        <v>2997.3575457779152</v>
      </c>
    </row>
    <row r="7882" spans="1:2" x14ac:dyDescent="0.3">
      <c r="A7882" s="2">
        <v>45986.333333333343</v>
      </c>
      <c r="B7882">
        <f>4067.83087189566*(3/4)</f>
        <v>3050.8731539217474</v>
      </c>
    </row>
    <row r="7883" spans="1:2" x14ac:dyDescent="0.3">
      <c r="A7883" s="2">
        <v>45986.375</v>
      </c>
      <c r="B7883">
        <f>3868.34642380871*(3/4)</f>
        <v>2901.2598178565354</v>
      </c>
    </row>
    <row r="7884" spans="1:2" x14ac:dyDescent="0.3">
      <c r="A7884" s="2">
        <v>45986.416666666657</v>
      </c>
      <c r="B7884">
        <f>4064.5890443348*(3/4)</f>
        <v>3048.4417832511031</v>
      </c>
    </row>
    <row r="7885" spans="1:2" x14ac:dyDescent="0.3">
      <c r="A7885" s="2">
        <v>45986.458333333343</v>
      </c>
      <c r="B7885">
        <f>4173.69830787915*(3/4)</f>
        <v>3130.2737309093645</v>
      </c>
    </row>
    <row r="7886" spans="1:2" x14ac:dyDescent="0.3">
      <c r="A7886" s="2">
        <v>45986.5</v>
      </c>
      <c r="B7886">
        <f>4463.2973112254*(3/4)</f>
        <v>3347.4729834190503</v>
      </c>
    </row>
    <row r="7887" spans="1:2" x14ac:dyDescent="0.3">
      <c r="A7887" s="2">
        <v>45986.541666666657</v>
      </c>
      <c r="B7887">
        <f>3979.9443857569*(3/4)</f>
        <v>2984.9582893176766</v>
      </c>
    </row>
    <row r="7888" spans="1:2" x14ac:dyDescent="0.3">
      <c r="A7888" s="2">
        <v>45986.583333333343</v>
      </c>
      <c r="B7888">
        <f>3630.52868416468*(3/4)</f>
        <v>2722.89651312351</v>
      </c>
    </row>
    <row r="7889" spans="1:2" x14ac:dyDescent="0.3">
      <c r="A7889" s="2">
        <v>45986.625</v>
      </c>
      <c r="B7889">
        <f>3924.91427539803*(3/4)</f>
        <v>2943.6857065485233</v>
      </c>
    </row>
    <row r="7890" spans="1:2" x14ac:dyDescent="0.3">
      <c r="A7890" s="2">
        <v>45986.666666666657</v>
      </c>
      <c r="B7890">
        <f>4260.65716571515*(3/4)</f>
        <v>3195.4928742863622</v>
      </c>
    </row>
    <row r="7891" spans="1:2" x14ac:dyDescent="0.3">
      <c r="A7891" s="2">
        <v>45986.708333333343</v>
      </c>
      <c r="B7891">
        <f>4160.71400129831*(3/4)</f>
        <v>3120.535500973735</v>
      </c>
    </row>
    <row r="7892" spans="1:2" x14ac:dyDescent="0.3">
      <c r="A7892" s="2">
        <v>45986.75</v>
      </c>
      <c r="B7892">
        <f>3926.16613418782*(3/4)</f>
        <v>2944.6246006408619</v>
      </c>
    </row>
    <row r="7893" spans="1:2" x14ac:dyDescent="0.3">
      <c r="A7893" s="2">
        <v>45986.791666666657</v>
      </c>
      <c r="B7893">
        <f>3795.20175393546*(3/4)</f>
        <v>2846.4013154515933</v>
      </c>
    </row>
    <row r="7894" spans="1:2" x14ac:dyDescent="0.3">
      <c r="A7894" s="2">
        <v>45986.833333333343</v>
      </c>
      <c r="B7894">
        <f>3839.1970307504*(3/4)</f>
        <v>2879.3977730628008</v>
      </c>
    </row>
    <row r="7895" spans="1:2" x14ac:dyDescent="0.3">
      <c r="A7895" s="2">
        <v>45986.875</v>
      </c>
      <c r="B7895">
        <f>4025.89188316339*(3/4)</f>
        <v>3019.4189123725409</v>
      </c>
    </row>
    <row r="7896" spans="1:2" x14ac:dyDescent="0.3">
      <c r="A7896" s="2">
        <v>45986.916666666657</v>
      </c>
      <c r="B7896">
        <f>3574.27714524325*(3/4)</f>
        <v>2680.7078589324356</v>
      </c>
    </row>
    <row r="7897" spans="1:2" x14ac:dyDescent="0.3">
      <c r="A7897" s="2">
        <v>45986.958333333343</v>
      </c>
      <c r="B7897">
        <f>3712.15131449927*(3/4)</f>
        <v>2784.1134858744513</v>
      </c>
    </row>
    <row r="7898" spans="1:2" x14ac:dyDescent="0.3">
      <c r="A7898" s="2">
        <v>45987</v>
      </c>
      <c r="B7898">
        <f>3981.27813226665*(3/4)</f>
        <v>2985.9585991999875</v>
      </c>
    </row>
    <row r="7899" spans="1:2" x14ac:dyDescent="0.3">
      <c r="A7899" s="2">
        <v>45987.041666666657</v>
      </c>
      <c r="B7899">
        <f>3843.07844604376*(3/4)</f>
        <v>2882.3088345328206</v>
      </c>
    </row>
    <row r="7900" spans="1:2" x14ac:dyDescent="0.3">
      <c r="A7900" s="2">
        <v>45987.083333333343</v>
      </c>
      <c r="B7900">
        <f>3972.82713872484*(3/4)</f>
        <v>2979.6203540436322</v>
      </c>
    </row>
    <row r="7901" spans="1:2" x14ac:dyDescent="0.3">
      <c r="A7901" s="2">
        <v>45987.125</v>
      </c>
      <c r="B7901">
        <f>4086.14090463879*(3/4)</f>
        <v>3064.6056784790917</v>
      </c>
    </row>
    <row r="7902" spans="1:2" x14ac:dyDescent="0.3">
      <c r="A7902" s="2">
        <v>45987.166666666657</v>
      </c>
      <c r="B7902">
        <f>3689.49313538506*(3/4)</f>
        <v>2767.119851538796</v>
      </c>
    </row>
    <row r="7903" spans="1:2" x14ac:dyDescent="0.3">
      <c r="A7903" s="2">
        <v>45987.208333333343</v>
      </c>
      <c r="B7903">
        <f>3880.21037228554*(3/4)</f>
        <v>2910.1577792141552</v>
      </c>
    </row>
    <row r="7904" spans="1:2" x14ac:dyDescent="0.3">
      <c r="A7904" s="2">
        <v>45987.25</v>
      </c>
      <c r="B7904">
        <f>3777.36194614356*(3/4)</f>
        <v>2833.0214596076671</v>
      </c>
    </row>
    <row r="7905" spans="1:2" x14ac:dyDescent="0.3">
      <c r="A7905" s="2">
        <v>45987.291666666657</v>
      </c>
      <c r="B7905">
        <f>4009.42459039147*(3/4)</f>
        <v>3007.0684427936003</v>
      </c>
    </row>
    <row r="7906" spans="1:2" x14ac:dyDescent="0.3">
      <c r="A7906" s="2">
        <v>45987.333333333343</v>
      </c>
      <c r="B7906">
        <f>4150.09226598367*(3/4)</f>
        <v>3112.5691994877502</v>
      </c>
    </row>
    <row r="7907" spans="1:2" x14ac:dyDescent="0.3">
      <c r="A7907" s="2">
        <v>45987.375</v>
      </c>
      <c r="B7907">
        <f>3897.40707626368*(3/4)</f>
        <v>2923.055307197757</v>
      </c>
    </row>
    <row r="7908" spans="1:2" x14ac:dyDescent="0.3">
      <c r="A7908" s="2">
        <v>45987.416666666657</v>
      </c>
      <c r="B7908">
        <f>3953.02381896798*(3/4)</f>
        <v>2964.7678642259816</v>
      </c>
    </row>
    <row r="7909" spans="1:2" x14ac:dyDescent="0.3">
      <c r="A7909" s="2">
        <v>45987.458333333343</v>
      </c>
      <c r="B7909">
        <f>3994.08531441557*(3/4)</f>
        <v>2995.5639858116792</v>
      </c>
    </row>
    <row r="7910" spans="1:2" x14ac:dyDescent="0.3">
      <c r="A7910" s="2">
        <v>45987.5</v>
      </c>
      <c r="B7910">
        <f>4426.45772308644*(3/4)</f>
        <v>3319.843292314833</v>
      </c>
    </row>
    <row r="7911" spans="1:2" x14ac:dyDescent="0.3">
      <c r="A7911" s="2">
        <v>45987.541666666657</v>
      </c>
      <c r="B7911">
        <f>4020.46277913947*(3/4)</f>
        <v>3015.347084354602</v>
      </c>
    </row>
    <row r="7912" spans="1:2" x14ac:dyDescent="0.3">
      <c r="A7912" s="2">
        <v>45987.583333333343</v>
      </c>
      <c r="B7912">
        <f>3946.98077604963*(3/4)</f>
        <v>2960.2355820372259</v>
      </c>
    </row>
    <row r="7913" spans="1:2" x14ac:dyDescent="0.3">
      <c r="A7913" s="2">
        <v>45987.625</v>
      </c>
      <c r="B7913">
        <f>4364.73363239076*(3/4)</f>
        <v>3273.5502242930725</v>
      </c>
    </row>
    <row r="7914" spans="1:2" x14ac:dyDescent="0.3">
      <c r="A7914" s="2">
        <v>45987.666666666657</v>
      </c>
      <c r="B7914">
        <f>3661.38923248827*(3/4)</f>
        <v>2746.041924366205</v>
      </c>
    </row>
    <row r="7915" spans="1:2" x14ac:dyDescent="0.3">
      <c r="A7915" s="2">
        <v>45987.708333333343</v>
      </c>
      <c r="B7915">
        <f>4246.88768498016*(3/4)</f>
        <v>3185.1657637351163</v>
      </c>
    </row>
    <row r="7916" spans="1:2" x14ac:dyDescent="0.3">
      <c r="A7916" s="2">
        <v>45987.75</v>
      </c>
      <c r="B7916">
        <f>4258.29442206705*(3/4)</f>
        <v>3193.7208165502898</v>
      </c>
    </row>
    <row r="7917" spans="1:2" x14ac:dyDescent="0.3">
      <c r="A7917" s="2">
        <v>45987.791666666657</v>
      </c>
      <c r="B7917">
        <f>4303.80606016847*(3/4)</f>
        <v>3227.8545451263508</v>
      </c>
    </row>
    <row r="7918" spans="1:2" x14ac:dyDescent="0.3">
      <c r="A7918" s="2">
        <v>45987.833333333343</v>
      </c>
      <c r="B7918">
        <f>4262.73504825823*(3/4)</f>
        <v>3197.0512861936709</v>
      </c>
    </row>
    <row r="7919" spans="1:2" x14ac:dyDescent="0.3">
      <c r="A7919" s="2">
        <v>45987.875</v>
      </c>
      <c r="B7919">
        <f>4077.26614532232*(3/4)</f>
        <v>3057.9496089917425</v>
      </c>
    </row>
    <row r="7920" spans="1:2" x14ac:dyDescent="0.3">
      <c r="A7920" s="2">
        <v>45987.916666666657</v>
      </c>
      <c r="B7920">
        <f>3616.12796708207*(3/4)</f>
        <v>2712.0959753115526</v>
      </c>
    </row>
    <row r="7921" spans="1:2" x14ac:dyDescent="0.3">
      <c r="A7921" s="2">
        <v>45987.958333333343</v>
      </c>
      <c r="B7921">
        <f>3622.05463468006*(3/4)</f>
        <v>2716.5409760100479</v>
      </c>
    </row>
    <row r="7922" spans="1:2" x14ac:dyDescent="0.3">
      <c r="A7922" s="2">
        <v>45988</v>
      </c>
      <c r="B7922">
        <f>3823.61662819342*(3/4)</f>
        <v>2867.7124711450629</v>
      </c>
    </row>
    <row r="7923" spans="1:2" x14ac:dyDescent="0.3">
      <c r="A7923" s="2">
        <v>45988.041666666657</v>
      </c>
      <c r="B7923">
        <f>3925.94964552048*(3/4)</f>
        <v>2944.4622341403579</v>
      </c>
    </row>
    <row r="7924" spans="1:2" x14ac:dyDescent="0.3">
      <c r="A7924" s="2">
        <v>45988.083333333343</v>
      </c>
      <c r="B7924">
        <f>3857.4045958239*(3/4)</f>
        <v>2893.0534468679234</v>
      </c>
    </row>
    <row r="7925" spans="1:2" x14ac:dyDescent="0.3">
      <c r="A7925" s="2">
        <v>45988.125</v>
      </c>
      <c r="B7925">
        <f>3740.36926995928*(3/4)</f>
        <v>2805.2769524694586</v>
      </c>
    </row>
    <row r="7926" spans="1:2" x14ac:dyDescent="0.3">
      <c r="A7926" s="2">
        <v>45988.166666666657</v>
      </c>
      <c r="B7926">
        <f>3737.05113310196*(3/4)</f>
        <v>2802.7883498264673</v>
      </c>
    </row>
    <row r="7927" spans="1:2" x14ac:dyDescent="0.3">
      <c r="A7927" s="2">
        <v>45988.208333333343</v>
      </c>
      <c r="B7927">
        <f>4137.57419829789*(3/4)</f>
        <v>3103.1806487234144</v>
      </c>
    </row>
    <row r="7928" spans="1:2" x14ac:dyDescent="0.3">
      <c r="A7928" s="2">
        <v>45988.25</v>
      </c>
      <c r="B7928">
        <f>3687.6296815429*(3/4)</f>
        <v>2765.7222611571724</v>
      </c>
    </row>
    <row r="7929" spans="1:2" x14ac:dyDescent="0.3">
      <c r="A7929" s="2">
        <v>45988.291666666657</v>
      </c>
      <c r="B7929">
        <f>4208.79448767869*(3/4)</f>
        <v>3156.595865759019</v>
      </c>
    </row>
    <row r="7930" spans="1:2" x14ac:dyDescent="0.3">
      <c r="A7930" s="2">
        <v>45988.333333333343</v>
      </c>
      <c r="B7930">
        <f>3711.10801956173*(3/4)</f>
        <v>2783.331014671297</v>
      </c>
    </row>
    <row r="7931" spans="1:2" x14ac:dyDescent="0.3">
      <c r="A7931" s="2">
        <v>45988.375</v>
      </c>
      <c r="B7931">
        <f>4036.97526405023*(3/4)</f>
        <v>3027.7314480376695</v>
      </c>
    </row>
    <row r="7932" spans="1:2" x14ac:dyDescent="0.3">
      <c r="A7932" s="2">
        <v>45988.416666666657</v>
      </c>
      <c r="B7932">
        <f>3916.45657671895*(3/4)</f>
        <v>2937.3424325392139</v>
      </c>
    </row>
    <row r="7933" spans="1:2" x14ac:dyDescent="0.3">
      <c r="A7933" s="2">
        <v>45988.458333333343</v>
      </c>
      <c r="B7933">
        <f>3945.18572877861*(3/4)</f>
        <v>2958.8892965839559</v>
      </c>
    </row>
    <row r="7934" spans="1:2" x14ac:dyDescent="0.3">
      <c r="A7934" s="2">
        <v>45988.5</v>
      </c>
      <c r="B7934">
        <f>3887.59370283607*(3/4)</f>
        <v>2915.6952771270503</v>
      </c>
    </row>
    <row r="7935" spans="1:2" x14ac:dyDescent="0.3">
      <c r="A7935" s="2">
        <v>45988.541666666657</v>
      </c>
      <c r="B7935">
        <f>3973.48045325018*(3/4)</f>
        <v>2980.110339937632</v>
      </c>
    </row>
    <row r="7936" spans="1:2" x14ac:dyDescent="0.3">
      <c r="A7936" s="2">
        <v>45988.583333333343</v>
      </c>
      <c r="B7936">
        <f>3535.14018716496*(3/4)</f>
        <v>2651.3551403737201</v>
      </c>
    </row>
    <row r="7937" spans="1:2" x14ac:dyDescent="0.3">
      <c r="A7937" s="2">
        <v>45988.625</v>
      </c>
      <c r="B7937">
        <f>4174.57258630319*(3/4)</f>
        <v>3130.9294397273925</v>
      </c>
    </row>
    <row r="7938" spans="1:2" x14ac:dyDescent="0.3">
      <c r="A7938" s="2">
        <v>45988.666666666657</v>
      </c>
      <c r="B7938">
        <f>3841.95526818122*(3/4)</f>
        <v>2881.4664511359151</v>
      </c>
    </row>
    <row r="7939" spans="1:2" x14ac:dyDescent="0.3">
      <c r="A7939" s="2">
        <v>45988.708333333343</v>
      </c>
      <c r="B7939">
        <f>3955.39352681279*(3/4)</f>
        <v>2966.5451451095914</v>
      </c>
    </row>
    <row r="7940" spans="1:2" x14ac:dyDescent="0.3">
      <c r="A7940" s="2">
        <v>45988.75</v>
      </c>
      <c r="B7940">
        <f>4035.22245151892*(3/4)</f>
        <v>3026.4168386391884</v>
      </c>
    </row>
    <row r="7941" spans="1:2" x14ac:dyDescent="0.3">
      <c r="A7941" s="2">
        <v>45988.791666666657</v>
      </c>
      <c r="B7941">
        <f>4000.73705145603*(3/4)</f>
        <v>3000.5527885920196</v>
      </c>
    </row>
    <row r="7942" spans="1:2" x14ac:dyDescent="0.3">
      <c r="A7942" s="2">
        <v>45988.833333333343</v>
      </c>
      <c r="B7942">
        <f>4092.06103543377*(3/4)</f>
        <v>3069.0457765753263</v>
      </c>
    </row>
    <row r="7943" spans="1:2" x14ac:dyDescent="0.3">
      <c r="A7943" s="2">
        <v>45988.875</v>
      </c>
      <c r="B7943">
        <f>4208.73625696702*(3/4)</f>
        <v>3156.5521927252676</v>
      </c>
    </row>
    <row r="7944" spans="1:2" x14ac:dyDescent="0.3">
      <c r="A7944" s="2">
        <v>45988.916666666657</v>
      </c>
      <c r="B7944">
        <f>3798.64068062097*(3/4)</f>
        <v>2848.9805104657262</v>
      </c>
    </row>
    <row r="7945" spans="1:2" x14ac:dyDescent="0.3">
      <c r="A7945" s="2">
        <v>45988.958333333343</v>
      </c>
      <c r="B7945">
        <f>4178.23922267269*(3/4)</f>
        <v>3133.6794170045146</v>
      </c>
    </row>
    <row r="7946" spans="1:2" x14ac:dyDescent="0.3">
      <c r="A7946" s="2">
        <v>45989</v>
      </c>
      <c r="B7946">
        <f>3936.39415161425*(3/4)</f>
        <v>2952.2956137106876</v>
      </c>
    </row>
    <row r="7947" spans="1:2" x14ac:dyDescent="0.3">
      <c r="A7947" s="2">
        <v>45989.041666666657</v>
      </c>
      <c r="B7947">
        <f>3787.03615106801*(3/4)</f>
        <v>2840.2771133010069</v>
      </c>
    </row>
    <row r="7948" spans="1:2" x14ac:dyDescent="0.3">
      <c r="A7948" s="2">
        <v>45989.083333333343</v>
      </c>
      <c r="B7948">
        <f>3905.11556168631*(3/4)</f>
        <v>2928.8366712647339</v>
      </c>
    </row>
    <row r="7949" spans="1:2" x14ac:dyDescent="0.3">
      <c r="A7949" s="2">
        <v>45989.125</v>
      </c>
      <c r="B7949">
        <f>3749.61043878732*(3/4)</f>
        <v>2812.2078290904892</v>
      </c>
    </row>
    <row r="7950" spans="1:2" x14ac:dyDescent="0.3">
      <c r="A7950" s="2">
        <v>45989.166666666657</v>
      </c>
      <c r="B7950">
        <f>3811.50836333681*(3/4)</f>
        <v>2858.63127250261</v>
      </c>
    </row>
    <row r="7951" spans="1:2" x14ac:dyDescent="0.3">
      <c r="A7951" s="2">
        <v>45989.208333333343</v>
      </c>
      <c r="B7951">
        <f>3979.14000830042*(3/4)</f>
        <v>2984.3550062253121</v>
      </c>
    </row>
    <row r="7952" spans="1:2" x14ac:dyDescent="0.3">
      <c r="A7952" s="2">
        <v>45989.25</v>
      </c>
      <c r="B7952">
        <f>4041.5089541724*(3/4)</f>
        <v>3031.1317156293017</v>
      </c>
    </row>
    <row r="7953" spans="1:2" x14ac:dyDescent="0.3">
      <c r="A7953" s="2">
        <v>45989.291666666657</v>
      </c>
      <c r="B7953">
        <f>4194.19337086068*(3/4)</f>
        <v>3145.6450281455127</v>
      </c>
    </row>
    <row r="7954" spans="1:2" x14ac:dyDescent="0.3">
      <c r="A7954" s="2">
        <v>45989.333333333343</v>
      </c>
      <c r="B7954">
        <f>3853.00747588805*(3/4)</f>
        <v>2889.7556069160369</v>
      </c>
    </row>
    <row r="7955" spans="1:2" x14ac:dyDescent="0.3">
      <c r="A7955" s="2">
        <v>45989.375</v>
      </c>
      <c r="B7955">
        <f>3892.70936503071*(3/4)</f>
        <v>2919.5320237730334</v>
      </c>
    </row>
    <row r="7956" spans="1:2" x14ac:dyDescent="0.3">
      <c r="A7956" s="2">
        <v>45989.416666666657</v>
      </c>
      <c r="B7956">
        <f>4061.45198460154*(3/4)</f>
        <v>3046.0889884511553</v>
      </c>
    </row>
    <row r="7957" spans="1:2" x14ac:dyDescent="0.3">
      <c r="A7957" s="2">
        <v>45989.458333333343</v>
      </c>
      <c r="B7957">
        <f>3946.9115107646*(3/4)</f>
        <v>2960.1836330734536</v>
      </c>
    </row>
    <row r="7958" spans="1:2" x14ac:dyDescent="0.3">
      <c r="A7958" s="2">
        <v>45989.5</v>
      </c>
      <c r="B7958">
        <f>3850.85048290813*(3/4)</f>
        <v>2888.1378621810945</v>
      </c>
    </row>
    <row r="7959" spans="1:2" x14ac:dyDescent="0.3">
      <c r="A7959" s="2">
        <v>45989.541666666657</v>
      </c>
      <c r="B7959">
        <f>4290.48490122682*(3/4)</f>
        <v>3217.8636759201163</v>
      </c>
    </row>
    <row r="7960" spans="1:2" x14ac:dyDescent="0.3">
      <c r="A7960" s="2">
        <v>45989.583333333343</v>
      </c>
      <c r="B7960">
        <f>3697.35870088317*(3/4)</f>
        <v>2773.019025662376</v>
      </c>
    </row>
    <row r="7961" spans="1:2" x14ac:dyDescent="0.3">
      <c r="A7961" s="2">
        <v>45989.625</v>
      </c>
      <c r="B7961">
        <f>4193.03099292878*(3/4)</f>
        <v>3144.7732446965874</v>
      </c>
    </row>
    <row r="7962" spans="1:2" x14ac:dyDescent="0.3">
      <c r="A7962" s="2">
        <v>45989.666666666657</v>
      </c>
      <c r="B7962">
        <f>3890.04050361309*(3/4)</f>
        <v>2917.5303777098143</v>
      </c>
    </row>
    <row r="7963" spans="1:2" x14ac:dyDescent="0.3">
      <c r="A7963" s="2">
        <v>45989.708333333343</v>
      </c>
      <c r="B7963">
        <f>4289.13902766213*(3/4)</f>
        <v>3216.8542707465945</v>
      </c>
    </row>
    <row r="7964" spans="1:2" x14ac:dyDescent="0.3">
      <c r="A7964" s="2">
        <v>45989.75</v>
      </c>
      <c r="B7964">
        <f>3840.68183496654*(3/4)</f>
        <v>2880.5113762249011</v>
      </c>
    </row>
    <row r="7965" spans="1:2" x14ac:dyDescent="0.3">
      <c r="A7965" s="2">
        <v>45989.791666666657</v>
      </c>
      <c r="B7965">
        <f>4137.21178476007*(3/4)</f>
        <v>3102.9088385700497</v>
      </c>
    </row>
    <row r="7966" spans="1:2" x14ac:dyDescent="0.3">
      <c r="A7966" s="2">
        <v>45989.833333333343</v>
      </c>
      <c r="B7966">
        <f>3853.87677404981*(3/4)</f>
        <v>2890.4075805373577</v>
      </c>
    </row>
    <row r="7967" spans="1:2" x14ac:dyDescent="0.3">
      <c r="A7967" s="2">
        <v>45989.875</v>
      </c>
      <c r="B7967">
        <f>4148.81753657964*(3/4)</f>
        <v>3111.613152434727</v>
      </c>
    </row>
    <row r="7968" spans="1:2" x14ac:dyDescent="0.3">
      <c r="A7968" s="2">
        <v>45989.916666666657</v>
      </c>
      <c r="B7968">
        <f>3607.44479490682*(3/4)</f>
        <v>2705.5835961801167</v>
      </c>
    </row>
    <row r="7969" spans="1:2" x14ac:dyDescent="0.3">
      <c r="A7969" s="2">
        <v>45989.958333333343</v>
      </c>
      <c r="B7969">
        <f>3883.74179970878*(3/4)</f>
        <v>2912.806349781582</v>
      </c>
    </row>
    <row r="7970" spans="1:2" x14ac:dyDescent="0.3">
      <c r="A7970" s="2">
        <v>45990</v>
      </c>
      <c r="B7970">
        <f>3898.64862987236*(3/4)</f>
        <v>2923.9864724042677</v>
      </c>
    </row>
    <row r="7971" spans="1:2" x14ac:dyDescent="0.3">
      <c r="A7971" s="2">
        <v>45990.041666666657</v>
      </c>
      <c r="B7971">
        <f>4169.02472858831*(3/4)</f>
        <v>3126.7685464412298</v>
      </c>
    </row>
    <row r="7972" spans="1:2" x14ac:dyDescent="0.3">
      <c r="A7972" s="2">
        <v>45990.083333333343</v>
      </c>
      <c r="B7972">
        <f>3717.67798790984*(3/4)</f>
        <v>2788.2584909323787</v>
      </c>
    </row>
    <row r="7973" spans="1:2" x14ac:dyDescent="0.3">
      <c r="A7973" s="2">
        <v>45990.125</v>
      </c>
      <c r="B7973">
        <f>4073.8622956589*(3/4)</f>
        <v>3055.3967217441777</v>
      </c>
    </row>
    <row r="7974" spans="1:2" x14ac:dyDescent="0.3">
      <c r="A7974" s="2">
        <v>45990.166666666657</v>
      </c>
      <c r="B7974">
        <f>3911.44148690414*(3/4)</f>
        <v>2933.5811151781027</v>
      </c>
    </row>
    <row r="7975" spans="1:2" x14ac:dyDescent="0.3">
      <c r="A7975" s="2">
        <v>45990.208333333343</v>
      </c>
      <c r="B7975">
        <f>3831.40728492675*(3/4)</f>
        <v>2873.555463695061</v>
      </c>
    </row>
    <row r="7976" spans="1:2" x14ac:dyDescent="0.3">
      <c r="A7976" s="2">
        <v>45990.25</v>
      </c>
      <c r="B7976">
        <f>3863.50914100136*(3/4)</f>
        <v>2897.6318557510172</v>
      </c>
    </row>
    <row r="7977" spans="1:2" x14ac:dyDescent="0.3">
      <c r="A7977" s="2">
        <v>45990.291666666657</v>
      </c>
      <c r="B7977">
        <f>4247.41555560195*(3/4)</f>
        <v>3185.5616667014588</v>
      </c>
    </row>
    <row r="7978" spans="1:2" x14ac:dyDescent="0.3">
      <c r="A7978" s="2">
        <v>45990.333333333343</v>
      </c>
      <c r="B7978">
        <f>4143.00133713973*(3/4)</f>
        <v>3107.2510028547958</v>
      </c>
    </row>
    <row r="7979" spans="1:2" x14ac:dyDescent="0.3">
      <c r="A7979" s="2">
        <v>45990.375</v>
      </c>
      <c r="B7979">
        <f>3812.39142934522*(3/4)</f>
        <v>2859.2935720089181</v>
      </c>
    </row>
    <row r="7980" spans="1:2" x14ac:dyDescent="0.3">
      <c r="A7980" s="2">
        <v>45990.416666666657</v>
      </c>
      <c r="B7980">
        <f>4388.25248121488*(3/4)</f>
        <v>3291.1893609111639</v>
      </c>
    </row>
    <row r="7981" spans="1:2" x14ac:dyDescent="0.3">
      <c r="A7981" s="2">
        <v>45990.458333333343</v>
      </c>
      <c r="B7981">
        <f>4018.48524337581*(3/4)</f>
        <v>3013.8639325318554</v>
      </c>
    </row>
    <row r="7982" spans="1:2" x14ac:dyDescent="0.3">
      <c r="A7982" s="2">
        <v>45990.5</v>
      </c>
      <c r="B7982">
        <f>4462.24568059204*(3/4)</f>
        <v>3346.6842604440308</v>
      </c>
    </row>
    <row r="7983" spans="1:2" x14ac:dyDescent="0.3">
      <c r="A7983" s="2">
        <v>45990.541666666657</v>
      </c>
      <c r="B7983">
        <f>3957.18125637506*(3/4)</f>
        <v>2967.885942281292</v>
      </c>
    </row>
    <row r="7984" spans="1:2" x14ac:dyDescent="0.3">
      <c r="A7984" s="2">
        <v>45990.583333333343</v>
      </c>
      <c r="B7984">
        <f>3676.80984785011*(3/4)</f>
        <v>2757.6073858875825</v>
      </c>
    </row>
    <row r="7985" spans="1:2" x14ac:dyDescent="0.3">
      <c r="A7985" s="2">
        <v>45990.625</v>
      </c>
      <c r="B7985">
        <f>4152.91353766265*(3/4)</f>
        <v>3114.6851532469868</v>
      </c>
    </row>
    <row r="7986" spans="1:2" x14ac:dyDescent="0.3">
      <c r="A7986" s="2">
        <v>45990.666666666657</v>
      </c>
      <c r="B7986">
        <f>4144.76458375052*(3/4)</f>
        <v>3108.5734378128873</v>
      </c>
    </row>
    <row r="7987" spans="1:2" x14ac:dyDescent="0.3">
      <c r="A7987" s="2">
        <v>45990.708333333343</v>
      </c>
      <c r="B7987">
        <f>3990.5626081134*(3/4)</f>
        <v>2992.9219560850506</v>
      </c>
    </row>
    <row r="7988" spans="1:2" x14ac:dyDescent="0.3">
      <c r="A7988" s="2">
        <v>45990.75</v>
      </c>
      <c r="B7988">
        <f>4031.58770211243*(3/4)</f>
        <v>3023.6907765843239</v>
      </c>
    </row>
    <row r="7989" spans="1:2" x14ac:dyDescent="0.3">
      <c r="A7989" s="2">
        <v>45990.791666666657</v>
      </c>
      <c r="B7989">
        <f>4118.68505535869*(3/4)</f>
        <v>3089.0137915190148</v>
      </c>
    </row>
    <row r="7990" spans="1:2" x14ac:dyDescent="0.3">
      <c r="A7990" s="2">
        <v>45990.833333333343</v>
      </c>
      <c r="B7990">
        <f>3674.93783990347*(3/4)</f>
        <v>2756.2033799276055</v>
      </c>
    </row>
    <row r="7991" spans="1:2" x14ac:dyDescent="0.3">
      <c r="A7991" s="2">
        <v>45990.875</v>
      </c>
      <c r="B7991">
        <f>4123.64530288921*(3/4)</f>
        <v>3092.7339771669112</v>
      </c>
    </row>
    <row r="7992" spans="1:2" x14ac:dyDescent="0.3">
      <c r="A7992" s="2">
        <v>45990.916666666657</v>
      </c>
      <c r="B7992">
        <f>3783.45159260581*(3/4)</f>
        <v>2837.588694454354</v>
      </c>
    </row>
    <row r="7993" spans="1:2" x14ac:dyDescent="0.3">
      <c r="A7993" s="2">
        <v>45990.958333333343</v>
      </c>
      <c r="B7993">
        <f>3866.00997102797*(3/4)</f>
        <v>2899.5074782709739</v>
      </c>
    </row>
    <row r="7994" spans="1:2" x14ac:dyDescent="0.3">
      <c r="A7994" s="2">
        <v>45991</v>
      </c>
      <c r="B7994">
        <f>4259.77831643883*(3/4)</f>
        <v>3194.8337373291197</v>
      </c>
    </row>
    <row r="7995" spans="1:2" x14ac:dyDescent="0.3">
      <c r="A7995" s="2">
        <v>45991.041666666657</v>
      </c>
      <c r="B7995">
        <f>3877.62359383817*(3/4)</f>
        <v>2908.217695378627</v>
      </c>
    </row>
    <row r="7996" spans="1:2" x14ac:dyDescent="0.3">
      <c r="A7996" s="2">
        <v>45991.083333333343</v>
      </c>
      <c r="B7996">
        <f>4031.77689542328*(3/4)</f>
        <v>3023.8326715674575</v>
      </c>
    </row>
    <row r="7997" spans="1:2" x14ac:dyDescent="0.3">
      <c r="A7997" s="2">
        <v>45991.125</v>
      </c>
      <c r="B7997">
        <f>3910.41326151952*(3/4)</f>
        <v>2932.8099461396391</v>
      </c>
    </row>
    <row r="7998" spans="1:2" x14ac:dyDescent="0.3">
      <c r="A7998" s="2">
        <v>45991.166666666657</v>
      </c>
      <c r="B7998">
        <f>4067.33960745576*(3/4)</f>
        <v>3050.5047055918176</v>
      </c>
    </row>
    <row r="7999" spans="1:2" x14ac:dyDescent="0.3">
      <c r="A7999" s="2">
        <v>45991.208333333343</v>
      </c>
      <c r="B7999">
        <f>4060.09081211885*(3/4)</f>
        <v>3045.068109089138</v>
      </c>
    </row>
    <row r="8000" spans="1:2" x14ac:dyDescent="0.3">
      <c r="A8000" s="2">
        <v>45991.25</v>
      </c>
      <c r="B8000">
        <f>3504.01273849984*(3/4)</f>
        <v>2628.0095538748824</v>
      </c>
    </row>
    <row r="8001" spans="1:2" x14ac:dyDescent="0.3">
      <c r="A8001" s="2">
        <v>45991.291666666657</v>
      </c>
      <c r="B8001">
        <f>4198.85963280992*(3/4)</f>
        <v>3149.1447246074408</v>
      </c>
    </row>
    <row r="8002" spans="1:2" x14ac:dyDescent="0.3">
      <c r="A8002" s="2">
        <v>45991.333333333343</v>
      </c>
      <c r="B8002">
        <f>3292.77933563645*(3/4)</f>
        <v>2469.5845017273405</v>
      </c>
    </row>
    <row r="8003" spans="1:2" x14ac:dyDescent="0.3">
      <c r="A8003" s="2">
        <v>45991.375</v>
      </c>
      <c r="B8003">
        <f>3321.54042675235*(3/4)</f>
        <v>2491.1553200642638</v>
      </c>
    </row>
    <row r="8004" spans="1:2" x14ac:dyDescent="0.3">
      <c r="A8004" s="2">
        <v>45991.416666666657</v>
      </c>
      <c r="B8004">
        <f>3527.9131642604*(3/4)</f>
        <v>2645.9348731953028</v>
      </c>
    </row>
    <row r="8005" spans="1:2" x14ac:dyDescent="0.3">
      <c r="A8005" s="2">
        <v>45991.458333333343</v>
      </c>
      <c r="B8005">
        <f>3356.21920743166*(3/4)</f>
        <v>2517.1644055737443</v>
      </c>
    </row>
    <row r="8006" spans="1:2" x14ac:dyDescent="0.3">
      <c r="A8006" s="2">
        <v>45991.5</v>
      </c>
      <c r="B8006">
        <f>3595.4605656911*(3/4)</f>
        <v>2696.5954242683279</v>
      </c>
    </row>
    <row r="8007" spans="1:2" x14ac:dyDescent="0.3">
      <c r="A8007" s="2">
        <v>45991.541666666657</v>
      </c>
      <c r="B8007">
        <f>3142.91514178202*(3/4)</f>
        <v>2357.1863563365173</v>
      </c>
    </row>
    <row r="8008" spans="1:2" x14ac:dyDescent="0.3">
      <c r="A8008" s="2">
        <v>45991.583333333343</v>
      </c>
      <c r="B8008">
        <f>3141.9000769165*(3/4)</f>
        <v>2356.4250576873728</v>
      </c>
    </row>
    <row r="8009" spans="1:2" x14ac:dyDescent="0.3">
      <c r="A8009" s="2">
        <v>45991.625</v>
      </c>
      <c r="B8009">
        <f>3242.10414460862*(3/4)</f>
        <v>2431.5781084564651</v>
      </c>
    </row>
    <row r="8010" spans="1:2" x14ac:dyDescent="0.3">
      <c r="A8010" s="2">
        <v>45991.666666666657</v>
      </c>
      <c r="B8010">
        <f>3070.24145632907*(3/4)</f>
        <v>2302.6810922468048</v>
      </c>
    </row>
    <row r="8011" spans="1:2" x14ac:dyDescent="0.3">
      <c r="A8011" s="2">
        <v>45991.708333333343</v>
      </c>
      <c r="B8011">
        <f>4182.58356159563*(3/4)</f>
        <v>3136.9376711967193</v>
      </c>
    </row>
    <row r="8012" spans="1:2" x14ac:dyDescent="0.3">
      <c r="A8012" s="2">
        <v>45991.75</v>
      </c>
      <c r="B8012">
        <f>4038.42926960884*(3/4)</f>
        <v>3028.8219522066265</v>
      </c>
    </row>
    <row r="8013" spans="1:2" x14ac:dyDescent="0.3">
      <c r="A8013" s="2">
        <v>45991.791666666657</v>
      </c>
      <c r="B8013">
        <f>4244.95173663378*(3/4)</f>
        <v>3183.7138024753349</v>
      </c>
    </row>
    <row r="8014" spans="1:2" x14ac:dyDescent="0.3">
      <c r="A8014" s="2">
        <v>45991.833333333343</v>
      </c>
      <c r="B8014">
        <f>4460.19384624024*(3/4)</f>
        <v>3345.1453846801769</v>
      </c>
    </row>
    <row r="8015" spans="1:2" x14ac:dyDescent="0.3">
      <c r="A8015" s="2">
        <v>45991.875</v>
      </c>
      <c r="B8015">
        <f>3902.95987999014*(3/4)</f>
        <v>2927.219909992607</v>
      </c>
    </row>
    <row r="8016" spans="1:2" x14ac:dyDescent="0.3">
      <c r="A8016" s="2">
        <v>45991.916666666657</v>
      </c>
      <c r="B8016">
        <f>3668.60378984005*(3/4)</f>
        <v>2751.4528423800352</v>
      </c>
    </row>
    <row r="8017" spans="1:2" x14ac:dyDescent="0.3">
      <c r="A8017" s="2">
        <v>45991.958333333343</v>
      </c>
      <c r="B8017">
        <f>3750.36075131966*(3/4)</f>
        <v>2812.7705634897466</v>
      </c>
    </row>
    <row r="8018" spans="1:2" x14ac:dyDescent="0.3">
      <c r="A8018" s="2">
        <v>45992</v>
      </c>
      <c r="B8018">
        <f>4228.11305429964*(3/4)</f>
        <v>3171.0847907247271</v>
      </c>
    </row>
    <row r="8019" spans="1:2" x14ac:dyDescent="0.3">
      <c r="A8019" s="2">
        <v>45992.041666666657</v>
      </c>
      <c r="B8019">
        <f>4164.00241199488*(3/4)</f>
        <v>3123.0018089961595</v>
      </c>
    </row>
    <row r="8020" spans="1:2" x14ac:dyDescent="0.3">
      <c r="A8020" s="2">
        <v>45992.083333333343</v>
      </c>
      <c r="B8020">
        <f>4200.26421427777*(3/4)</f>
        <v>3150.1981607083244</v>
      </c>
    </row>
    <row r="8021" spans="1:2" x14ac:dyDescent="0.3">
      <c r="A8021" s="2">
        <v>45992.125</v>
      </c>
      <c r="B8021">
        <f>4138.48809998931*(3/4)</f>
        <v>3103.8660749919836</v>
      </c>
    </row>
    <row r="8022" spans="1:2" x14ac:dyDescent="0.3">
      <c r="A8022" s="2">
        <v>45992.166666666657</v>
      </c>
      <c r="B8022">
        <f>4522.77913527031*(3/4)</f>
        <v>3392.0843514527314</v>
      </c>
    </row>
    <row r="8023" spans="1:2" x14ac:dyDescent="0.3">
      <c r="A8023" s="2">
        <v>45992.208333333343</v>
      </c>
      <c r="B8023">
        <f>4217.52985800599*(3/4)</f>
        <v>3163.1473935044937</v>
      </c>
    </row>
    <row r="8024" spans="1:2" x14ac:dyDescent="0.3">
      <c r="A8024" s="2">
        <v>45992.25</v>
      </c>
      <c r="B8024">
        <f>4022.81319687888*(3/4)</f>
        <v>3017.109897659157</v>
      </c>
    </row>
    <row r="8025" spans="1:2" x14ac:dyDescent="0.3">
      <c r="A8025" s="2">
        <v>45992.291666666657</v>
      </c>
      <c r="B8025">
        <f>4610.12038869046*(3/4)</f>
        <v>3457.590291517844</v>
      </c>
    </row>
    <row r="8026" spans="1:2" x14ac:dyDescent="0.3">
      <c r="A8026" s="2">
        <v>45992.333333333343</v>
      </c>
      <c r="B8026">
        <f>4656.88579122076*(3/4)</f>
        <v>3492.6643434155676</v>
      </c>
    </row>
    <row r="8027" spans="1:2" x14ac:dyDescent="0.3">
      <c r="A8027" s="2">
        <v>45992.375</v>
      </c>
      <c r="B8027">
        <f>4230.19146260283*(3/4)</f>
        <v>3172.6435969521235</v>
      </c>
    </row>
    <row r="8028" spans="1:2" x14ac:dyDescent="0.3">
      <c r="A8028" s="2">
        <v>45992.416666666657</v>
      </c>
      <c r="B8028">
        <f>4433.91192662301*(3/4)</f>
        <v>3325.4339449672607</v>
      </c>
    </row>
    <row r="8029" spans="1:2" x14ac:dyDescent="0.3">
      <c r="A8029" s="2">
        <v>45992.458333333343</v>
      </c>
      <c r="B8029">
        <f>4183.31521271193*(3/4)</f>
        <v>3137.4864095339503</v>
      </c>
    </row>
    <row r="8030" spans="1:2" x14ac:dyDescent="0.3">
      <c r="A8030" s="2">
        <v>45992.5</v>
      </c>
      <c r="B8030">
        <f>4445.92699753665*(3/4)</f>
        <v>3334.4452481524895</v>
      </c>
    </row>
    <row r="8031" spans="1:2" x14ac:dyDescent="0.3">
      <c r="A8031" s="2">
        <v>45992.541666666657</v>
      </c>
      <c r="B8031">
        <f>4605.74673378443*(3/4)</f>
        <v>3454.3100503383257</v>
      </c>
    </row>
    <row r="8032" spans="1:2" x14ac:dyDescent="0.3">
      <c r="A8032" s="2">
        <v>45992.583333333343</v>
      </c>
      <c r="B8032">
        <f>4351.46499655436*(3/4)</f>
        <v>3263.5987474157728</v>
      </c>
    </row>
    <row r="8033" spans="1:2" x14ac:dyDescent="0.3">
      <c r="A8033" s="2">
        <v>45992.625</v>
      </c>
      <c r="B8033">
        <f>4597.70562928318*(3/4)</f>
        <v>3448.2792219623852</v>
      </c>
    </row>
    <row r="8034" spans="1:2" x14ac:dyDescent="0.3">
      <c r="A8034" s="2">
        <v>45992.666666666657</v>
      </c>
      <c r="B8034">
        <f>4724.4317576547*(3/4)</f>
        <v>3543.3238182410259</v>
      </c>
    </row>
    <row r="8035" spans="1:2" x14ac:dyDescent="0.3">
      <c r="A8035" s="2">
        <v>45992.708333333343</v>
      </c>
      <c r="B8035">
        <f>4519.40109681052*(3/4)</f>
        <v>3389.550822607891</v>
      </c>
    </row>
    <row r="8036" spans="1:2" x14ac:dyDescent="0.3">
      <c r="A8036" s="2">
        <v>45992.75</v>
      </c>
      <c r="B8036">
        <f>4127.28888515332*(3/4)</f>
        <v>3095.4666638649896</v>
      </c>
    </row>
    <row r="8037" spans="1:2" x14ac:dyDescent="0.3">
      <c r="A8037" s="2">
        <v>45992.791666666657</v>
      </c>
      <c r="B8037">
        <f>4557.79211467192*(3/4)</f>
        <v>3418.3440860039373</v>
      </c>
    </row>
    <row r="8038" spans="1:2" x14ac:dyDescent="0.3">
      <c r="A8038" s="2">
        <v>45992.833333333343</v>
      </c>
      <c r="B8038">
        <f>4800*(3/4)</f>
        <v>3600</v>
      </c>
    </row>
    <row r="8039" spans="1:2" x14ac:dyDescent="0.3">
      <c r="A8039" s="2">
        <v>45992.875</v>
      </c>
      <c r="B8039">
        <f>4367.9199664833*(3/4)</f>
        <v>3275.939974862476</v>
      </c>
    </row>
    <row r="8040" spans="1:2" x14ac:dyDescent="0.3">
      <c r="A8040" s="2">
        <v>45992.916666666657</v>
      </c>
      <c r="B8040">
        <f>3932.89619072255*(3/4)</f>
        <v>2949.6721430419102</v>
      </c>
    </row>
    <row r="8041" spans="1:2" x14ac:dyDescent="0.3">
      <c r="A8041" s="2">
        <v>45992.958333333343</v>
      </c>
      <c r="B8041">
        <f>4374.4434649098*(3/4)</f>
        <v>3280.832598682352</v>
      </c>
    </row>
    <row r="8042" spans="1:2" x14ac:dyDescent="0.3">
      <c r="A8042" s="2">
        <v>45993</v>
      </c>
      <c r="B8042">
        <f>4500.22942772344*(3/4)</f>
        <v>3375.1720707925788</v>
      </c>
    </row>
    <row r="8043" spans="1:2" x14ac:dyDescent="0.3">
      <c r="A8043" s="2">
        <v>45993.041666666657</v>
      </c>
      <c r="B8043">
        <f>4269.30648742043*(3/4)</f>
        <v>3201.9798655653203</v>
      </c>
    </row>
    <row r="8044" spans="1:2" x14ac:dyDescent="0.3">
      <c r="A8044" s="2">
        <v>45993.083333333343</v>
      </c>
      <c r="B8044">
        <f>4510.45573605936*(3/4)</f>
        <v>3382.8418020445197</v>
      </c>
    </row>
    <row r="8045" spans="1:2" x14ac:dyDescent="0.3">
      <c r="A8045" s="2">
        <v>45993.125</v>
      </c>
      <c r="B8045">
        <f>4321.57219394248*(3/4)</f>
        <v>3241.1791454568565</v>
      </c>
    </row>
    <row r="8046" spans="1:2" x14ac:dyDescent="0.3">
      <c r="A8046" s="2">
        <v>45993.166666666657</v>
      </c>
      <c r="B8046">
        <f>4148.78591766765*(3/4)</f>
        <v>3111.5894382507404</v>
      </c>
    </row>
    <row r="8047" spans="1:2" x14ac:dyDescent="0.3">
      <c r="A8047" s="2">
        <v>45993.208333333343</v>
      </c>
      <c r="B8047">
        <f>4481.86198504843*(3/4)</f>
        <v>3361.3964887863212</v>
      </c>
    </row>
    <row r="8048" spans="1:2" x14ac:dyDescent="0.3">
      <c r="A8048" s="2">
        <v>45993.25</v>
      </c>
      <c r="B8048">
        <f>4125.13115361035*(3/4)</f>
        <v>3093.8483652077607</v>
      </c>
    </row>
    <row r="8049" spans="1:2" x14ac:dyDescent="0.3">
      <c r="A8049" s="2">
        <v>45993.291666666657</v>
      </c>
      <c r="B8049">
        <f>4353.10375959335*(3/4)</f>
        <v>3264.82781969501</v>
      </c>
    </row>
    <row r="8050" spans="1:2" x14ac:dyDescent="0.3">
      <c r="A8050" s="2">
        <v>45993.333333333343</v>
      </c>
      <c r="B8050">
        <f>4643.9548012535*(3/4)</f>
        <v>3482.9661009401248</v>
      </c>
    </row>
    <row r="8051" spans="1:2" x14ac:dyDescent="0.3">
      <c r="A8051" s="2">
        <v>45993.375</v>
      </c>
      <c r="B8051">
        <f>4419.65420194064*(3/4)</f>
        <v>3314.7406514554787</v>
      </c>
    </row>
    <row r="8052" spans="1:2" x14ac:dyDescent="0.3">
      <c r="A8052" s="2">
        <v>45993.416666666657</v>
      </c>
      <c r="B8052">
        <f>4674.29575214783*(3/4)</f>
        <v>3505.7218141108751</v>
      </c>
    </row>
    <row r="8053" spans="1:2" x14ac:dyDescent="0.3">
      <c r="A8053" s="2">
        <v>45993.458333333343</v>
      </c>
      <c r="B8053">
        <f>4653.50931093071*(3/4)</f>
        <v>3490.1319831980309</v>
      </c>
    </row>
    <row r="8054" spans="1:2" x14ac:dyDescent="0.3">
      <c r="A8054" s="2">
        <v>45993.5</v>
      </c>
      <c r="B8054">
        <f>4445.71816106823*(3/4)</f>
        <v>3334.2886208011732</v>
      </c>
    </row>
    <row r="8055" spans="1:2" x14ac:dyDescent="0.3">
      <c r="A8055" s="2">
        <v>45993.541666666657</v>
      </c>
      <c r="B8055">
        <f>4202.75426165738*(3/4)</f>
        <v>3152.0656962430348</v>
      </c>
    </row>
    <row r="8056" spans="1:2" x14ac:dyDescent="0.3">
      <c r="A8056" s="2">
        <v>45993.583333333343</v>
      </c>
      <c r="B8056">
        <f>4094.28710577634*(3/4)</f>
        <v>3070.7153293322544</v>
      </c>
    </row>
    <row r="8057" spans="1:2" x14ac:dyDescent="0.3">
      <c r="A8057" s="2">
        <v>45993.625</v>
      </c>
      <c r="B8057">
        <f>4588.98997733898*(3/4)</f>
        <v>3441.7424830042319</v>
      </c>
    </row>
    <row r="8058" spans="1:2" x14ac:dyDescent="0.3">
      <c r="A8058" s="2">
        <v>45993.666666666657</v>
      </c>
      <c r="B8058">
        <f>4439.10542053486*(3/4)</f>
        <v>3329.3290654011462</v>
      </c>
    </row>
    <row r="8059" spans="1:2" x14ac:dyDescent="0.3">
      <c r="A8059" s="2">
        <v>45993.708333333343</v>
      </c>
      <c r="B8059">
        <f>4318.88577176458*(3/4)</f>
        <v>3239.1643288234354</v>
      </c>
    </row>
    <row r="8060" spans="1:2" x14ac:dyDescent="0.3">
      <c r="A8060" s="2">
        <v>45993.75</v>
      </c>
      <c r="B8060">
        <f>4480.07437125437*(3/4)</f>
        <v>3360.0557784407761</v>
      </c>
    </row>
    <row r="8061" spans="1:2" x14ac:dyDescent="0.3">
      <c r="A8061" s="2">
        <v>45993.791666666657</v>
      </c>
      <c r="B8061">
        <f>4453.19596807311*(3/4)</f>
        <v>3339.896976054833</v>
      </c>
    </row>
    <row r="8062" spans="1:2" x14ac:dyDescent="0.3">
      <c r="A8062" s="2">
        <v>45993.833333333343</v>
      </c>
      <c r="B8062">
        <f>4214.93891066054*(3/4)</f>
        <v>3161.2041829954073</v>
      </c>
    </row>
    <row r="8063" spans="1:2" x14ac:dyDescent="0.3">
      <c r="A8063" s="2">
        <v>45993.875</v>
      </c>
      <c r="B8063">
        <f>4493.32101334693*(3/4)</f>
        <v>3369.9907600101983</v>
      </c>
    </row>
    <row r="8064" spans="1:2" x14ac:dyDescent="0.3">
      <c r="A8064" s="2">
        <v>45993.916666666657</v>
      </c>
      <c r="B8064">
        <f>3973.38066488278*(3/4)</f>
        <v>2980.0354986620841</v>
      </c>
    </row>
    <row r="8065" spans="1:2" x14ac:dyDescent="0.3">
      <c r="A8065" s="2">
        <v>45993.958333333343</v>
      </c>
      <c r="B8065">
        <f>4262.3658617353*(3/4)</f>
        <v>3196.7743963014764</v>
      </c>
    </row>
    <row r="8066" spans="1:2" x14ac:dyDescent="0.3">
      <c r="A8066" s="2">
        <v>45994</v>
      </c>
      <c r="B8066">
        <f>4173.53288159156*(3/4)</f>
        <v>3130.1496611936709</v>
      </c>
    </row>
    <row r="8067" spans="1:2" x14ac:dyDescent="0.3">
      <c r="A8067" s="2">
        <v>45994.041666666657</v>
      </c>
      <c r="B8067">
        <f>4373.61393312153*(3/4)</f>
        <v>3280.2104498411472</v>
      </c>
    </row>
    <row r="8068" spans="1:2" x14ac:dyDescent="0.3">
      <c r="A8068" s="2">
        <v>45994.083333333343</v>
      </c>
      <c r="B8068">
        <f>4098.76579357856*(3/4)</f>
        <v>3074.074345183918</v>
      </c>
    </row>
    <row r="8069" spans="1:2" x14ac:dyDescent="0.3">
      <c r="A8069" s="2">
        <v>45994.125</v>
      </c>
      <c r="B8069">
        <f>4343.28007296946*(3/4)</f>
        <v>3257.4600547270975</v>
      </c>
    </row>
    <row r="8070" spans="1:2" x14ac:dyDescent="0.3">
      <c r="A8070" s="2">
        <v>45994.166666666657</v>
      </c>
      <c r="B8070">
        <f>4356.30711735457*(3/4)</f>
        <v>3267.2303380159265</v>
      </c>
    </row>
    <row r="8071" spans="1:2" x14ac:dyDescent="0.3">
      <c r="A8071" s="2">
        <v>45994.208333333343</v>
      </c>
      <c r="B8071">
        <f>4213.19207445683*(3/4)</f>
        <v>3159.8940558426189</v>
      </c>
    </row>
    <row r="8072" spans="1:2" x14ac:dyDescent="0.3">
      <c r="A8072" s="2">
        <v>45994.25</v>
      </c>
      <c r="B8072">
        <f>4031.37581532745*(3/4)</f>
        <v>3023.5318614955904</v>
      </c>
    </row>
    <row r="8073" spans="1:2" x14ac:dyDescent="0.3">
      <c r="A8073" s="2">
        <v>45994.291666666657</v>
      </c>
      <c r="B8073">
        <f>4264.85633832812*(3/4)</f>
        <v>3198.6422537460899</v>
      </c>
    </row>
    <row r="8074" spans="1:2" x14ac:dyDescent="0.3">
      <c r="A8074" s="2">
        <v>45994.333333333343</v>
      </c>
      <c r="B8074">
        <f>4457.68121088135*(3/4)</f>
        <v>3343.260908161009</v>
      </c>
    </row>
    <row r="8075" spans="1:2" x14ac:dyDescent="0.3">
      <c r="A8075" s="2">
        <v>45994.375</v>
      </c>
      <c r="B8075">
        <f>4439.5194640597*(3/4)</f>
        <v>3329.6395980447714</v>
      </c>
    </row>
    <row r="8076" spans="1:2" x14ac:dyDescent="0.3">
      <c r="A8076" s="2">
        <v>45994.416666666657</v>
      </c>
      <c r="B8076">
        <f>4297.74796248183*(3/4)</f>
        <v>3223.3109718613696</v>
      </c>
    </row>
    <row r="8077" spans="1:2" x14ac:dyDescent="0.3">
      <c r="A8077" s="2">
        <v>45994.458333333343</v>
      </c>
      <c r="B8077">
        <f>4543.706089181*(3/4)</f>
        <v>3407.7795668857461</v>
      </c>
    </row>
    <row r="8078" spans="1:2" x14ac:dyDescent="0.3">
      <c r="A8078" s="2">
        <v>45994.5</v>
      </c>
      <c r="B8078">
        <f>4800*(3/4)</f>
        <v>3600</v>
      </c>
    </row>
    <row r="8079" spans="1:2" x14ac:dyDescent="0.3">
      <c r="A8079" s="2">
        <v>45994.541666666657</v>
      </c>
      <c r="B8079">
        <f>4595.87932010903*(3/4)</f>
        <v>3446.9094900817699</v>
      </c>
    </row>
    <row r="8080" spans="1:2" x14ac:dyDescent="0.3">
      <c r="A8080" s="2">
        <v>45994.583333333343</v>
      </c>
      <c r="B8080">
        <f>4119.52389013262*(3/4)</f>
        <v>3089.6429175994654</v>
      </c>
    </row>
    <row r="8081" spans="1:2" x14ac:dyDescent="0.3">
      <c r="A8081" s="2">
        <v>45994.625</v>
      </c>
      <c r="B8081">
        <f>4634.04109757161*(3/4)</f>
        <v>3475.5308231787048</v>
      </c>
    </row>
    <row r="8082" spans="1:2" x14ac:dyDescent="0.3">
      <c r="A8082" s="2">
        <v>45994.666666666657</v>
      </c>
      <c r="B8082">
        <f>4434.5267391514*(3/4)</f>
        <v>3325.8950543635519</v>
      </c>
    </row>
    <row r="8083" spans="1:2" x14ac:dyDescent="0.3">
      <c r="A8083" s="2">
        <v>45994.708333333343</v>
      </c>
      <c r="B8083">
        <f>4328.18200980178*(3/4)</f>
        <v>3246.1365073513334</v>
      </c>
    </row>
    <row r="8084" spans="1:2" x14ac:dyDescent="0.3">
      <c r="A8084" s="2">
        <v>45994.75</v>
      </c>
      <c r="B8084">
        <f>4540.8590279059*(3/4)</f>
        <v>3405.6442709294242</v>
      </c>
    </row>
    <row r="8085" spans="1:2" x14ac:dyDescent="0.3">
      <c r="A8085" s="2">
        <v>45994.791666666657</v>
      </c>
      <c r="B8085">
        <f>4616.46209130192*(3/4)</f>
        <v>3462.3465684764387</v>
      </c>
    </row>
    <row r="8086" spans="1:2" x14ac:dyDescent="0.3">
      <c r="A8086" s="2">
        <v>45994.833333333343</v>
      </c>
      <c r="B8086">
        <f>4472.09255589698*(3/4)</f>
        <v>3354.0694169227336</v>
      </c>
    </row>
    <row r="8087" spans="1:2" x14ac:dyDescent="0.3">
      <c r="A8087" s="2">
        <v>45994.875</v>
      </c>
      <c r="B8087">
        <f>4422.00579281207*(3/4)</f>
        <v>3316.5043446090508</v>
      </c>
    </row>
    <row r="8088" spans="1:2" x14ac:dyDescent="0.3">
      <c r="A8088" s="2">
        <v>45994.916666666657</v>
      </c>
      <c r="B8088">
        <f>4146.51648058338*(3/4)</f>
        <v>3109.8873604375358</v>
      </c>
    </row>
    <row r="8089" spans="1:2" x14ac:dyDescent="0.3">
      <c r="A8089" s="2">
        <v>45994.958333333343</v>
      </c>
      <c r="B8089">
        <f>3984.79864527571*(3/4)</f>
        <v>2988.5989839567837</v>
      </c>
    </row>
    <row r="8090" spans="1:2" x14ac:dyDescent="0.3">
      <c r="A8090" s="2">
        <v>45995</v>
      </c>
      <c r="B8090">
        <f>4788.46905551872*(3/4)</f>
        <v>3591.351791639041</v>
      </c>
    </row>
    <row r="8091" spans="1:2" x14ac:dyDescent="0.3">
      <c r="A8091" s="2">
        <v>45995.041666666657</v>
      </c>
      <c r="B8091">
        <f>4325.27141394741*(3/4)</f>
        <v>3243.9535604605599</v>
      </c>
    </row>
    <row r="8092" spans="1:2" x14ac:dyDescent="0.3">
      <c r="A8092" s="2">
        <v>45995.083333333343</v>
      </c>
      <c r="B8092">
        <f>4161.66901747684*(3/4)</f>
        <v>3121.2517631076271</v>
      </c>
    </row>
    <row r="8093" spans="1:2" x14ac:dyDescent="0.3">
      <c r="A8093" s="2">
        <v>45995.125</v>
      </c>
      <c r="B8093">
        <f>4496.04616224852*(3/4)</f>
        <v>3372.0346216863873</v>
      </c>
    </row>
    <row r="8094" spans="1:2" x14ac:dyDescent="0.3">
      <c r="A8094" s="2">
        <v>45995.166666666657</v>
      </c>
      <c r="B8094">
        <f>4295.56324238155*(3/4)</f>
        <v>3221.6724317861654</v>
      </c>
    </row>
    <row r="8095" spans="1:2" x14ac:dyDescent="0.3">
      <c r="A8095" s="2">
        <v>45995.208333333343</v>
      </c>
      <c r="B8095">
        <f>4548.73138228903*(3/4)</f>
        <v>3411.5485367167739</v>
      </c>
    </row>
    <row r="8096" spans="1:2" x14ac:dyDescent="0.3">
      <c r="A8096" s="2">
        <v>45995.25</v>
      </c>
      <c r="B8096">
        <f>4350.72236304874*(3/4)</f>
        <v>3263.0417722865554</v>
      </c>
    </row>
    <row r="8097" spans="1:2" x14ac:dyDescent="0.3">
      <c r="A8097" s="2">
        <v>45995.291666666657</v>
      </c>
      <c r="B8097">
        <f>4592.63672591402*(3/4)</f>
        <v>3444.4775444355114</v>
      </c>
    </row>
    <row r="8098" spans="1:2" x14ac:dyDescent="0.3">
      <c r="A8098" s="2">
        <v>45995.333333333343</v>
      </c>
      <c r="B8098">
        <f>4334.99949891988*(3/4)</f>
        <v>3251.249624189913</v>
      </c>
    </row>
    <row r="8099" spans="1:2" x14ac:dyDescent="0.3">
      <c r="A8099" s="2">
        <v>45995.375</v>
      </c>
      <c r="B8099">
        <f>4417.67293580936*(3/4)</f>
        <v>3313.2547018570231</v>
      </c>
    </row>
    <row r="8100" spans="1:2" x14ac:dyDescent="0.3">
      <c r="A8100" s="2">
        <v>45995.416666666657</v>
      </c>
      <c r="B8100">
        <f>4703.58774196611*(3/4)</f>
        <v>3527.6908064745794</v>
      </c>
    </row>
    <row r="8101" spans="1:2" x14ac:dyDescent="0.3">
      <c r="A8101" s="2">
        <v>45995.458333333343</v>
      </c>
      <c r="B8101">
        <f>4406.13938380751*(3/4)</f>
        <v>3304.604537855631</v>
      </c>
    </row>
    <row r="8102" spans="1:2" x14ac:dyDescent="0.3">
      <c r="A8102" s="2">
        <v>45995.5</v>
      </c>
      <c r="B8102">
        <f>4030.42339150084*(3/4)</f>
        <v>3022.8175436256338</v>
      </c>
    </row>
    <row r="8103" spans="1:2" x14ac:dyDescent="0.3">
      <c r="A8103" s="2">
        <v>45995.541666666657</v>
      </c>
      <c r="B8103">
        <f>4207.38541569886*(3/4)</f>
        <v>3155.5390617741486</v>
      </c>
    </row>
    <row r="8104" spans="1:2" x14ac:dyDescent="0.3">
      <c r="A8104" s="2">
        <v>45995.583333333343</v>
      </c>
      <c r="B8104">
        <f>3882.50843808688*(3/4)</f>
        <v>2911.8813285651586</v>
      </c>
    </row>
    <row r="8105" spans="1:2" x14ac:dyDescent="0.3">
      <c r="A8105" s="2">
        <v>45995.625</v>
      </c>
      <c r="B8105">
        <f>4515.69835073806*(3/4)</f>
        <v>3386.7737630535471</v>
      </c>
    </row>
    <row r="8106" spans="1:2" x14ac:dyDescent="0.3">
      <c r="A8106" s="2">
        <v>45995.666666666657</v>
      </c>
      <c r="B8106">
        <f>4489.94627862065*(3/4)</f>
        <v>3367.4597089654853</v>
      </c>
    </row>
    <row r="8107" spans="1:2" x14ac:dyDescent="0.3">
      <c r="A8107" s="2">
        <v>45995.708333333343</v>
      </c>
      <c r="B8107">
        <f>4517.47713817034*(3/4)</f>
        <v>3388.1078536277587</v>
      </c>
    </row>
    <row r="8108" spans="1:2" x14ac:dyDescent="0.3">
      <c r="A8108" s="2">
        <v>45995.75</v>
      </c>
      <c r="B8108">
        <f>4322.20439118634*(3/4)</f>
        <v>3241.6532933897561</v>
      </c>
    </row>
    <row r="8109" spans="1:2" x14ac:dyDescent="0.3">
      <c r="A8109" s="2">
        <v>45995.791666666657</v>
      </c>
      <c r="B8109">
        <f>4260.33382227703*(3/4)</f>
        <v>3195.2503667077717</v>
      </c>
    </row>
    <row r="8110" spans="1:2" x14ac:dyDescent="0.3">
      <c r="A8110" s="2">
        <v>45995.833333333343</v>
      </c>
      <c r="B8110">
        <f>4352.21720818005*(3/4)</f>
        <v>3264.1629061350368</v>
      </c>
    </row>
    <row r="8111" spans="1:2" x14ac:dyDescent="0.3">
      <c r="A8111" s="2">
        <v>45995.875</v>
      </c>
      <c r="B8111">
        <f>4235.37048089424*(3/4)</f>
        <v>3176.5278606706834</v>
      </c>
    </row>
    <row r="8112" spans="1:2" x14ac:dyDescent="0.3">
      <c r="A8112" s="2">
        <v>45995.916666666657</v>
      </c>
      <c r="B8112">
        <f>3992.97880434771*(3/4)</f>
        <v>2994.7341032607837</v>
      </c>
    </row>
    <row r="8113" spans="1:2" x14ac:dyDescent="0.3">
      <c r="A8113" s="2">
        <v>45995.958333333343</v>
      </c>
      <c r="B8113">
        <f>4294.76701086346*(3/4)</f>
        <v>3221.0752581475926</v>
      </c>
    </row>
    <row r="8114" spans="1:2" x14ac:dyDescent="0.3">
      <c r="A8114" s="2">
        <v>45996</v>
      </c>
      <c r="B8114">
        <f>4452.11890618193*(3/4)</f>
        <v>3339.0891796364467</v>
      </c>
    </row>
    <row r="8115" spans="1:2" x14ac:dyDescent="0.3">
      <c r="A8115" s="2">
        <v>45996.041666666657</v>
      </c>
      <c r="B8115">
        <f>4321.60088993635*(3/4)</f>
        <v>3241.2006674522645</v>
      </c>
    </row>
    <row r="8116" spans="1:2" x14ac:dyDescent="0.3">
      <c r="A8116" s="2">
        <v>45996.083333333343</v>
      </c>
      <c r="B8116">
        <f>4274.3173177311*(3/4)</f>
        <v>3205.7379882983241</v>
      </c>
    </row>
    <row r="8117" spans="1:2" x14ac:dyDescent="0.3">
      <c r="A8117" s="2">
        <v>45996.125</v>
      </c>
      <c r="B8117">
        <f>4292.19008960556*(3/4)</f>
        <v>3219.1425672041732</v>
      </c>
    </row>
    <row r="8118" spans="1:2" x14ac:dyDescent="0.3">
      <c r="A8118" s="2">
        <v>45996.166666666657</v>
      </c>
      <c r="B8118">
        <f>4326.3391308709*(3/4)</f>
        <v>3244.7543481531734</v>
      </c>
    </row>
    <row r="8119" spans="1:2" x14ac:dyDescent="0.3">
      <c r="A8119" s="2">
        <v>45996.208333333343</v>
      </c>
      <c r="B8119">
        <f>4206.13653017021*(3/4)</f>
        <v>3154.6023976276592</v>
      </c>
    </row>
    <row r="8120" spans="1:2" x14ac:dyDescent="0.3">
      <c r="A8120" s="2">
        <v>45996.25</v>
      </c>
      <c r="B8120">
        <f>4172.61560005469*(3/4)</f>
        <v>3129.4617000410208</v>
      </c>
    </row>
    <row r="8121" spans="1:2" x14ac:dyDescent="0.3">
      <c r="A8121" s="2">
        <v>45996.291666666657</v>
      </c>
      <c r="B8121">
        <f>4495.71111089314*(3/4)</f>
        <v>3371.7833331698521</v>
      </c>
    </row>
    <row r="8122" spans="1:2" x14ac:dyDescent="0.3">
      <c r="A8122" s="2">
        <v>45996.333333333343</v>
      </c>
      <c r="B8122">
        <f>4452.0528317399*(3/4)</f>
        <v>3339.0396238049279</v>
      </c>
    </row>
    <row r="8123" spans="1:2" x14ac:dyDescent="0.3">
      <c r="A8123" s="2">
        <v>45996.375</v>
      </c>
      <c r="B8123">
        <f>4470.57666349302*(3/4)</f>
        <v>3352.932497619764</v>
      </c>
    </row>
    <row r="8124" spans="1:2" x14ac:dyDescent="0.3">
      <c r="A8124" s="2">
        <v>45996.416666666657</v>
      </c>
      <c r="B8124">
        <f>4412.09886175765*(3/4)</f>
        <v>3309.0741463182385</v>
      </c>
    </row>
    <row r="8125" spans="1:2" x14ac:dyDescent="0.3">
      <c r="A8125" s="2">
        <v>45996.458333333343</v>
      </c>
      <c r="B8125">
        <f>4734.86638419917*(3/4)</f>
        <v>3551.1497881493756</v>
      </c>
    </row>
    <row r="8126" spans="1:2" x14ac:dyDescent="0.3">
      <c r="A8126" s="2">
        <v>45996.5</v>
      </c>
      <c r="B8126">
        <f>4366.47369014043*(3/4)</f>
        <v>3274.8552676053223</v>
      </c>
    </row>
    <row r="8127" spans="1:2" x14ac:dyDescent="0.3">
      <c r="A8127" s="2">
        <v>45996.541666666657</v>
      </c>
      <c r="B8127">
        <f>4685.49859695078*(3/4)</f>
        <v>3514.1239477130885</v>
      </c>
    </row>
    <row r="8128" spans="1:2" x14ac:dyDescent="0.3">
      <c r="A8128" s="2">
        <v>45996.583333333343</v>
      </c>
      <c r="B8128">
        <f>4029.11050688343*(3/4)</f>
        <v>3021.8328801625757</v>
      </c>
    </row>
    <row r="8129" spans="1:2" x14ac:dyDescent="0.3">
      <c r="A8129" s="2">
        <v>45996.625</v>
      </c>
      <c r="B8129">
        <f>4407.2731582834*(3/4)</f>
        <v>3305.454868712548</v>
      </c>
    </row>
    <row r="8130" spans="1:2" x14ac:dyDescent="0.3">
      <c r="A8130" s="2">
        <v>45996.666666666657</v>
      </c>
      <c r="B8130">
        <f>4377.05361200344*(3/4)</f>
        <v>3282.7902090025837</v>
      </c>
    </row>
    <row r="8131" spans="1:2" x14ac:dyDescent="0.3">
      <c r="A8131" s="2">
        <v>45996.708333333343</v>
      </c>
      <c r="B8131">
        <f>4271.99732744833*(3/4)</f>
        <v>3203.9979955862495</v>
      </c>
    </row>
    <row r="8132" spans="1:2" x14ac:dyDescent="0.3">
      <c r="A8132" s="2">
        <v>45996.75</v>
      </c>
      <c r="B8132">
        <f>4197.22790721818*(3/4)</f>
        <v>3147.920930413632</v>
      </c>
    </row>
    <row r="8133" spans="1:2" x14ac:dyDescent="0.3">
      <c r="A8133" s="2">
        <v>45996.791666666657</v>
      </c>
      <c r="B8133">
        <f>4247.4564292384*(3/4)</f>
        <v>3185.5923219288024</v>
      </c>
    </row>
    <row r="8134" spans="1:2" x14ac:dyDescent="0.3">
      <c r="A8134" s="2">
        <v>45996.833333333343</v>
      </c>
      <c r="B8134">
        <f>4800*(3/4)</f>
        <v>3600</v>
      </c>
    </row>
    <row r="8135" spans="1:2" x14ac:dyDescent="0.3">
      <c r="A8135" s="2">
        <v>45996.875</v>
      </c>
      <c r="B8135">
        <f>4553.92458046376*(3/4)</f>
        <v>3415.4434353478237</v>
      </c>
    </row>
    <row r="8136" spans="1:2" x14ac:dyDescent="0.3">
      <c r="A8136" s="2">
        <v>45996.916666666657</v>
      </c>
      <c r="B8136">
        <f>3949.49627853449*(3/4)</f>
        <v>2962.1222089008643</v>
      </c>
    </row>
    <row r="8137" spans="1:2" x14ac:dyDescent="0.3">
      <c r="A8137" s="2">
        <v>45996.958333333343</v>
      </c>
      <c r="B8137">
        <f>4529.46499524637*(3/4)</f>
        <v>3397.0987464347745</v>
      </c>
    </row>
    <row r="8138" spans="1:2" x14ac:dyDescent="0.3">
      <c r="A8138" s="2">
        <v>45997</v>
      </c>
      <c r="B8138">
        <f>4144.72235824506*(3/4)</f>
        <v>3108.5417686837955</v>
      </c>
    </row>
    <row r="8139" spans="1:2" x14ac:dyDescent="0.3">
      <c r="A8139" s="2">
        <v>45997.041666666657</v>
      </c>
      <c r="B8139">
        <f>4340.24868285029*(3/4)</f>
        <v>3255.1865121377205</v>
      </c>
    </row>
    <row r="8140" spans="1:2" x14ac:dyDescent="0.3">
      <c r="A8140" s="2">
        <v>45997.083333333343</v>
      </c>
      <c r="B8140">
        <f>4297.15948926827*(3/4)</f>
        <v>3222.8696169512004</v>
      </c>
    </row>
    <row r="8141" spans="1:2" x14ac:dyDescent="0.3">
      <c r="A8141" s="2">
        <v>45997.125</v>
      </c>
      <c r="B8141">
        <f>4389.50153860155*(3/4)</f>
        <v>3292.1261539511634</v>
      </c>
    </row>
    <row r="8142" spans="1:2" x14ac:dyDescent="0.3">
      <c r="A8142" s="2">
        <v>45997.166666666657</v>
      </c>
      <c r="B8142">
        <f>4649.60845051567*(3/4)</f>
        <v>3487.2063378867524</v>
      </c>
    </row>
    <row r="8143" spans="1:2" x14ac:dyDescent="0.3">
      <c r="A8143" s="2">
        <v>45997.208333333343</v>
      </c>
      <c r="B8143">
        <f>4096.0679471867*(3/4)</f>
        <v>3072.0509603900273</v>
      </c>
    </row>
    <row r="8144" spans="1:2" x14ac:dyDescent="0.3">
      <c r="A8144" s="2">
        <v>45997.25</v>
      </c>
      <c r="B8144">
        <f>4304.05000189017*(3/4)</f>
        <v>3228.0375014176257</v>
      </c>
    </row>
    <row r="8145" spans="1:2" x14ac:dyDescent="0.3">
      <c r="A8145" s="2">
        <v>45997.291666666657</v>
      </c>
      <c r="B8145">
        <f>4431.34648618428*(3/4)</f>
        <v>3323.509864638213</v>
      </c>
    </row>
    <row r="8146" spans="1:2" x14ac:dyDescent="0.3">
      <c r="A8146" s="2">
        <v>45997.333333333343</v>
      </c>
      <c r="B8146">
        <f>4580.61999973724*(3/4)</f>
        <v>3435.4649998029317</v>
      </c>
    </row>
    <row r="8147" spans="1:2" x14ac:dyDescent="0.3">
      <c r="A8147" s="2">
        <v>45997.375</v>
      </c>
      <c r="B8147">
        <f>4702.58147329915*(3/4)</f>
        <v>3526.9361049743593</v>
      </c>
    </row>
    <row r="8148" spans="1:2" x14ac:dyDescent="0.3">
      <c r="A8148" s="2">
        <v>45997.416666666657</v>
      </c>
      <c r="B8148">
        <f>4362.6352200347*(3/4)</f>
        <v>3271.9764150260285</v>
      </c>
    </row>
    <row r="8149" spans="1:2" x14ac:dyDescent="0.3">
      <c r="A8149" s="2">
        <v>45997.458333333343</v>
      </c>
      <c r="B8149">
        <f>4343.30609888362*(3/4)</f>
        <v>3257.4795741627167</v>
      </c>
    </row>
    <row r="8150" spans="1:2" x14ac:dyDescent="0.3">
      <c r="A8150" s="2">
        <v>45997.5</v>
      </c>
      <c r="B8150">
        <f>4451.53622534886*(3/4)</f>
        <v>3338.652169011646</v>
      </c>
    </row>
    <row r="8151" spans="1:2" x14ac:dyDescent="0.3">
      <c r="A8151" s="2">
        <v>45997.541666666657</v>
      </c>
      <c r="B8151">
        <f>4465.98273135691*(3/4)</f>
        <v>3349.4870485176807</v>
      </c>
    </row>
    <row r="8152" spans="1:2" x14ac:dyDescent="0.3">
      <c r="A8152" s="2">
        <v>45997.583333333343</v>
      </c>
      <c r="B8152">
        <f>4234.2955565671*(3/4)</f>
        <v>3175.7216674253214</v>
      </c>
    </row>
    <row r="8153" spans="1:2" x14ac:dyDescent="0.3">
      <c r="A8153" s="2">
        <v>45997.625</v>
      </c>
      <c r="B8153">
        <f>4309.93857427241*(3/4)</f>
        <v>3232.4539307043096</v>
      </c>
    </row>
    <row r="8154" spans="1:2" x14ac:dyDescent="0.3">
      <c r="A8154" s="2">
        <v>45997.666666666657</v>
      </c>
      <c r="B8154">
        <f>4312.32704607281*(3/4)</f>
        <v>3234.2452845546104</v>
      </c>
    </row>
    <row r="8155" spans="1:2" x14ac:dyDescent="0.3">
      <c r="A8155" s="2">
        <v>45997.708333333343</v>
      </c>
      <c r="B8155">
        <f>4421.9098675209*(3/4)</f>
        <v>3316.432400640676</v>
      </c>
    </row>
    <row r="8156" spans="1:2" x14ac:dyDescent="0.3">
      <c r="A8156" s="2">
        <v>45997.75</v>
      </c>
      <c r="B8156">
        <f>4290.34311538335*(3/4)</f>
        <v>3217.7573365375147</v>
      </c>
    </row>
    <row r="8157" spans="1:2" x14ac:dyDescent="0.3">
      <c r="A8157" s="2">
        <v>45997.791666666657</v>
      </c>
      <c r="B8157">
        <f>4615.60688125294*(3/4)</f>
        <v>3461.7051609397049</v>
      </c>
    </row>
    <row r="8158" spans="1:2" x14ac:dyDescent="0.3">
      <c r="A8158" s="2">
        <v>45997.833333333343</v>
      </c>
      <c r="B8158">
        <f>4496.85230300698*(3/4)</f>
        <v>3372.6392272552321</v>
      </c>
    </row>
    <row r="8159" spans="1:2" x14ac:dyDescent="0.3">
      <c r="A8159" s="2">
        <v>45997.875</v>
      </c>
      <c r="B8159">
        <f>4613.96168714791*(3/4)</f>
        <v>3460.4712653609313</v>
      </c>
    </row>
    <row r="8160" spans="1:2" x14ac:dyDescent="0.3">
      <c r="A8160" s="2">
        <v>45997.916666666657</v>
      </c>
      <c r="B8160">
        <f>4267.56056173346*(3/4)</f>
        <v>3200.670421300093</v>
      </c>
    </row>
    <row r="8161" spans="1:2" x14ac:dyDescent="0.3">
      <c r="A8161" s="2">
        <v>45997.958333333343</v>
      </c>
      <c r="B8161">
        <f>4205.51682533467*(3/4)</f>
        <v>3154.1376190010023</v>
      </c>
    </row>
    <row r="8162" spans="1:2" x14ac:dyDescent="0.3">
      <c r="A8162" s="2">
        <v>45998</v>
      </c>
      <c r="B8162">
        <f>4344.6162251563*(3/4)</f>
        <v>3258.4621688672278</v>
      </c>
    </row>
    <row r="8163" spans="1:2" x14ac:dyDescent="0.3">
      <c r="A8163" s="2">
        <v>45998.041666666657</v>
      </c>
      <c r="B8163">
        <f>4229.3814216222*(3/4)</f>
        <v>3172.0360662166486</v>
      </c>
    </row>
    <row r="8164" spans="1:2" x14ac:dyDescent="0.3">
      <c r="A8164" s="2">
        <v>45998.083333333343</v>
      </c>
      <c r="B8164">
        <f>4280.01127712509*(3/4)</f>
        <v>3210.0084578438182</v>
      </c>
    </row>
    <row r="8165" spans="1:2" x14ac:dyDescent="0.3">
      <c r="A8165" s="2">
        <v>45998.125</v>
      </c>
      <c r="B8165">
        <f>4503.60524870156*(3/4)</f>
        <v>3377.7039365261676</v>
      </c>
    </row>
    <row r="8166" spans="1:2" x14ac:dyDescent="0.3">
      <c r="A8166" s="2">
        <v>45998.166666666657</v>
      </c>
      <c r="B8166">
        <f>4251.42683764181*(3/4)</f>
        <v>3188.5701282313548</v>
      </c>
    </row>
    <row r="8167" spans="1:2" x14ac:dyDescent="0.3">
      <c r="A8167" s="2">
        <v>45998.208333333343</v>
      </c>
      <c r="B8167">
        <f>4064.71900551085*(3/4)</f>
        <v>3048.5392541331398</v>
      </c>
    </row>
    <row r="8168" spans="1:2" x14ac:dyDescent="0.3">
      <c r="A8168" s="2">
        <v>45998.25</v>
      </c>
      <c r="B8168">
        <f>4302.32768074812*(3/4)</f>
        <v>3226.7457605610907</v>
      </c>
    </row>
    <row r="8169" spans="1:2" x14ac:dyDescent="0.3">
      <c r="A8169" s="2">
        <v>45998.291666666657</v>
      </c>
      <c r="B8169">
        <f>4302.07101293255*(3/4)</f>
        <v>3226.5532596994158</v>
      </c>
    </row>
    <row r="8170" spans="1:2" x14ac:dyDescent="0.3">
      <c r="A8170" s="2">
        <v>45998.333333333343</v>
      </c>
      <c r="B8170">
        <f>3585.18804289484*(3/4)</f>
        <v>2688.8910321711292</v>
      </c>
    </row>
    <row r="8171" spans="1:2" x14ac:dyDescent="0.3">
      <c r="A8171" s="2">
        <v>45998.375</v>
      </c>
      <c r="B8171">
        <f>3797.48400589114*(3/4)</f>
        <v>2848.1130044183551</v>
      </c>
    </row>
    <row r="8172" spans="1:2" x14ac:dyDescent="0.3">
      <c r="A8172" s="2">
        <v>45998.416666666657</v>
      </c>
      <c r="B8172">
        <f>3717.97928468825*(3/4)</f>
        <v>2788.4844635161876</v>
      </c>
    </row>
    <row r="8173" spans="1:2" x14ac:dyDescent="0.3">
      <c r="A8173" s="2">
        <v>45998.458333333343</v>
      </c>
      <c r="B8173">
        <f>3595.22833967799*(3/4)</f>
        <v>2696.4212547584948</v>
      </c>
    </row>
    <row r="8174" spans="1:2" x14ac:dyDescent="0.3">
      <c r="A8174" s="2">
        <v>45998.5</v>
      </c>
      <c r="B8174">
        <f>3753.04877514614*(3/4)</f>
        <v>2814.7865813596018</v>
      </c>
    </row>
    <row r="8175" spans="1:2" x14ac:dyDescent="0.3">
      <c r="A8175" s="2">
        <v>45998.541666666657</v>
      </c>
      <c r="B8175">
        <f>3417.54717281037*(3/4)</f>
        <v>2563.1603796077761</v>
      </c>
    </row>
    <row r="8176" spans="1:2" x14ac:dyDescent="0.3">
      <c r="A8176" s="2">
        <v>45998.583333333343</v>
      </c>
      <c r="B8176">
        <f>3476.0745715683*(3/4)</f>
        <v>2607.0559286762218</v>
      </c>
    </row>
    <row r="8177" spans="1:2" x14ac:dyDescent="0.3">
      <c r="A8177" s="2">
        <v>45998.625</v>
      </c>
      <c r="B8177">
        <f>3440.23981123743*(3/4)</f>
        <v>2580.1798584280741</v>
      </c>
    </row>
    <row r="8178" spans="1:2" x14ac:dyDescent="0.3">
      <c r="A8178" s="2">
        <v>45998.666666666657</v>
      </c>
      <c r="B8178">
        <f>3555.55411219829*(3/4)</f>
        <v>2666.6655841487159</v>
      </c>
    </row>
    <row r="8179" spans="1:2" x14ac:dyDescent="0.3">
      <c r="A8179" s="2">
        <v>45998.708333333343</v>
      </c>
      <c r="B8179">
        <f>4311.98587990661*(3/4)</f>
        <v>3233.9894099299545</v>
      </c>
    </row>
    <row r="8180" spans="1:2" x14ac:dyDescent="0.3">
      <c r="A8180" s="2">
        <v>45998.75</v>
      </c>
      <c r="B8180">
        <f>4540.28231790674*(3/4)</f>
        <v>3405.2117384300564</v>
      </c>
    </row>
    <row r="8181" spans="1:2" x14ac:dyDescent="0.3">
      <c r="A8181" s="2">
        <v>45998.791666666657</v>
      </c>
      <c r="B8181">
        <f>4408.6885403172*(3/4)</f>
        <v>3306.5164052378977</v>
      </c>
    </row>
    <row r="8182" spans="1:2" x14ac:dyDescent="0.3">
      <c r="A8182" s="2">
        <v>45998.833333333343</v>
      </c>
      <c r="B8182">
        <f>4800*(3/4)</f>
        <v>3600</v>
      </c>
    </row>
    <row r="8183" spans="1:2" x14ac:dyDescent="0.3">
      <c r="A8183" s="2">
        <v>45998.875</v>
      </c>
      <c r="B8183">
        <f>4697.54389886561*(3/4)</f>
        <v>3523.1579241492036</v>
      </c>
    </row>
    <row r="8184" spans="1:2" x14ac:dyDescent="0.3">
      <c r="A8184" s="2">
        <v>45998.916666666657</v>
      </c>
      <c r="B8184">
        <f>4203.73589820916*(3/4)</f>
        <v>3152.8019236568721</v>
      </c>
    </row>
    <row r="8185" spans="1:2" x14ac:dyDescent="0.3">
      <c r="A8185" s="2">
        <v>45998.958333333343</v>
      </c>
      <c r="B8185">
        <f>4062.91096610437*(3/4)</f>
        <v>3047.1832245782807</v>
      </c>
    </row>
    <row r="8186" spans="1:2" x14ac:dyDescent="0.3">
      <c r="A8186" s="2">
        <v>45999</v>
      </c>
      <c r="B8186">
        <f>4292.39643647013*(3/4)</f>
        <v>3219.2973273525986</v>
      </c>
    </row>
    <row r="8187" spans="1:2" x14ac:dyDescent="0.3">
      <c r="A8187" s="2">
        <v>45999.041666666657</v>
      </c>
      <c r="B8187">
        <f>4275.99978922722*(3/4)</f>
        <v>3206.999841920413</v>
      </c>
    </row>
    <row r="8188" spans="1:2" x14ac:dyDescent="0.3">
      <c r="A8188" s="2">
        <v>45999.083333333343</v>
      </c>
      <c r="B8188">
        <f>4441.0858815198*(3/4)</f>
        <v>3330.8144111398533</v>
      </c>
    </row>
    <row r="8189" spans="1:2" x14ac:dyDescent="0.3">
      <c r="A8189" s="2">
        <v>45999.125</v>
      </c>
      <c r="B8189">
        <f>4523.28896498752*(3/4)</f>
        <v>3392.4667237406397</v>
      </c>
    </row>
    <row r="8190" spans="1:2" x14ac:dyDescent="0.3">
      <c r="A8190" s="2">
        <v>45999.166666666657</v>
      </c>
      <c r="B8190">
        <f>4627.66120756185*(3/4)</f>
        <v>3470.7459056713892</v>
      </c>
    </row>
    <row r="8191" spans="1:2" x14ac:dyDescent="0.3">
      <c r="A8191" s="2">
        <v>45999.208333333343</v>
      </c>
      <c r="B8191">
        <f>4393.75351041771*(3/4)</f>
        <v>3295.3151328132817</v>
      </c>
    </row>
    <row r="8192" spans="1:2" x14ac:dyDescent="0.3">
      <c r="A8192" s="2">
        <v>45999.25</v>
      </c>
      <c r="B8192">
        <f>4180.84538525287*(3/4)</f>
        <v>3135.6340389396501</v>
      </c>
    </row>
    <row r="8193" spans="1:2" x14ac:dyDescent="0.3">
      <c r="A8193" s="2">
        <v>45999.291666666657</v>
      </c>
      <c r="B8193">
        <f>4620.0580821518*(3/4)</f>
        <v>3465.043561613852</v>
      </c>
    </row>
    <row r="8194" spans="1:2" x14ac:dyDescent="0.3">
      <c r="A8194" s="2">
        <v>45999.333333333343</v>
      </c>
      <c r="B8194">
        <f>4767.73743133116*(3/4)</f>
        <v>3575.8030734983677</v>
      </c>
    </row>
    <row r="8195" spans="1:2" x14ac:dyDescent="0.3">
      <c r="A8195" s="2">
        <v>45999.375</v>
      </c>
      <c r="B8195">
        <f>4637.04281559643*(3/4)</f>
        <v>3477.7821116973205</v>
      </c>
    </row>
    <row r="8196" spans="1:2" x14ac:dyDescent="0.3">
      <c r="A8196" s="2">
        <v>45999.416666666657</v>
      </c>
      <c r="B8196">
        <f>4649.64986590471*(3/4)</f>
        <v>3487.2373994285326</v>
      </c>
    </row>
    <row r="8197" spans="1:2" x14ac:dyDescent="0.3">
      <c r="A8197" s="2">
        <v>45999.458333333343</v>
      </c>
      <c r="B8197">
        <f>4458.98440845003*(3/4)</f>
        <v>3344.2383063375232</v>
      </c>
    </row>
    <row r="8198" spans="1:2" x14ac:dyDescent="0.3">
      <c r="A8198" s="2">
        <v>45999.5</v>
      </c>
      <c r="B8198">
        <f>4328.26633053786*(3/4)</f>
        <v>3246.1997479033957</v>
      </c>
    </row>
    <row r="8199" spans="1:2" x14ac:dyDescent="0.3">
      <c r="A8199" s="2">
        <v>45999.541666666657</v>
      </c>
      <c r="B8199">
        <f>4681.98923886037*(3/4)</f>
        <v>3511.4919291452743</v>
      </c>
    </row>
    <row r="8200" spans="1:2" x14ac:dyDescent="0.3">
      <c r="A8200" s="2">
        <v>45999.583333333343</v>
      </c>
      <c r="B8200">
        <f>4328.58321106962*(3/4)</f>
        <v>3246.4374083022176</v>
      </c>
    </row>
    <row r="8201" spans="1:2" x14ac:dyDescent="0.3">
      <c r="A8201" s="2">
        <v>45999.625</v>
      </c>
      <c r="B8201">
        <f>4363.70872549166*(3/4)</f>
        <v>3272.7815441187458</v>
      </c>
    </row>
    <row r="8202" spans="1:2" x14ac:dyDescent="0.3">
      <c r="A8202" s="2">
        <v>45999.666666666657</v>
      </c>
      <c r="B8202">
        <f>4507.54837205386*(3/4)</f>
        <v>3380.6612790403979</v>
      </c>
    </row>
    <row r="8203" spans="1:2" x14ac:dyDescent="0.3">
      <c r="A8203" s="2">
        <v>45999.708333333343</v>
      </c>
      <c r="B8203">
        <f>4753.27159566896*(3/4)</f>
        <v>3564.9536967517206</v>
      </c>
    </row>
    <row r="8204" spans="1:2" x14ac:dyDescent="0.3">
      <c r="A8204" s="2">
        <v>45999.75</v>
      </c>
      <c r="B8204">
        <f>4178.99159434758*(3/4)</f>
        <v>3134.2436957606851</v>
      </c>
    </row>
    <row r="8205" spans="1:2" x14ac:dyDescent="0.3">
      <c r="A8205" s="2">
        <v>45999.791666666657</v>
      </c>
      <c r="B8205">
        <f>4424.26510986317*(3/4)</f>
        <v>3318.1988323973801</v>
      </c>
    </row>
    <row r="8206" spans="1:2" x14ac:dyDescent="0.3">
      <c r="A8206" s="2">
        <v>45999.833333333343</v>
      </c>
      <c r="B8206">
        <f>4635.37988444592*(3/4)</f>
        <v>3476.5349133344389</v>
      </c>
    </row>
    <row r="8207" spans="1:2" x14ac:dyDescent="0.3">
      <c r="A8207" s="2">
        <v>45999.875</v>
      </c>
      <c r="B8207">
        <f>4770.75563920968*(3/4)</f>
        <v>3578.0667294072596</v>
      </c>
    </row>
    <row r="8208" spans="1:2" x14ac:dyDescent="0.3">
      <c r="A8208" s="2">
        <v>45999.916666666657</v>
      </c>
      <c r="B8208">
        <f>4215.89397764325*(3/4)</f>
        <v>3161.9204832324394</v>
      </c>
    </row>
    <row r="8209" spans="1:2" x14ac:dyDescent="0.3">
      <c r="A8209" s="2">
        <v>45999.958333333343</v>
      </c>
      <c r="B8209">
        <f>4321.3587688946*(3/4)</f>
        <v>3241.0190766709493</v>
      </c>
    </row>
    <row r="8210" spans="1:2" x14ac:dyDescent="0.3">
      <c r="A8210" s="2">
        <v>46000</v>
      </c>
      <c r="B8210">
        <f>4426.11674799175*(3/4)</f>
        <v>3319.5875609938121</v>
      </c>
    </row>
    <row r="8211" spans="1:2" x14ac:dyDescent="0.3">
      <c r="A8211" s="2">
        <v>46000.041666666657</v>
      </c>
      <c r="B8211">
        <f>4519.37220694081*(3/4)</f>
        <v>3389.5291552056092</v>
      </c>
    </row>
    <row r="8212" spans="1:2" x14ac:dyDescent="0.3">
      <c r="A8212" s="2">
        <v>46000.083333333343</v>
      </c>
      <c r="B8212">
        <f>4416.05551524195*(3/4)</f>
        <v>3312.0416364314619</v>
      </c>
    </row>
    <row r="8213" spans="1:2" x14ac:dyDescent="0.3">
      <c r="A8213" s="2">
        <v>46000.125</v>
      </c>
      <c r="B8213">
        <f>4530.97445803215*(3/4)</f>
        <v>3398.2308435241121</v>
      </c>
    </row>
    <row r="8214" spans="1:2" x14ac:dyDescent="0.3">
      <c r="A8214" s="2">
        <v>46000.166666666657</v>
      </c>
      <c r="B8214">
        <f>3949.90374224388*(3/4)</f>
        <v>2962.4278066829074</v>
      </c>
    </row>
    <row r="8215" spans="1:2" x14ac:dyDescent="0.3">
      <c r="A8215" s="2">
        <v>46000.208333333343</v>
      </c>
      <c r="B8215">
        <f>4347.57172122127*(3/4)</f>
        <v>3260.6787909159561</v>
      </c>
    </row>
    <row r="8216" spans="1:2" x14ac:dyDescent="0.3">
      <c r="A8216" s="2">
        <v>46000.25</v>
      </c>
      <c r="B8216">
        <f>4143.20840785903*(3/4)</f>
        <v>3107.4063058942693</v>
      </c>
    </row>
    <row r="8217" spans="1:2" x14ac:dyDescent="0.3">
      <c r="A8217" s="2">
        <v>46000.291666666657</v>
      </c>
      <c r="B8217">
        <f>4433.37380376282*(3/4)</f>
        <v>3325.0303528221139</v>
      </c>
    </row>
    <row r="8218" spans="1:2" x14ac:dyDescent="0.3">
      <c r="A8218" s="2">
        <v>46000.333333333343</v>
      </c>
      <c r="B8218">
        <f>4274.996203358*(3/4)</f>
        <v>3206.2471525185019</v>
      </c>
    </row>
    <row r="8219" spans="1:2" x14ac:dyDescent="0.3">
      <c r="A8219" s="2">
        <v>46000.375</v>
      </c>
      <c r="B8219">
        <f>4568.94513368517*(3/4)</f>
        <v>3426.7088502638753</v>
      </c>
    </row>
    <row r="8220" spans="1:2" x14ac:dyDescent="0.3">
      <c r="A8220" s="2">
        <v>46000.416666666657</v>
      </c>
      <c r="B8220">
        <f>4322.40498960778*(3/4)</f>
        <v>3241.8037422058324</v>
      </c>
    </row>
    <row r="8221" spans="1:2" x14ac:dyDescent="0.3">
      <c r="A8221" s="2">
        <v>46000.458333333343</v>
      </c>
      <c r="B8221">
        <f>4475.4930677561*(3/4)</f>
        <v>3356.6198008170768</v>
      </c>
    </row>
    <row r="8222" spans="1:2" x14ac:dyDescent="0.3">
      <c r="A8222" s="2">
        <v>46000.5</v>
      </c>
      <c r="B8222">
        <f>4629.05411373092*(3/4)</f>
        <v>3471.7905852981921</v>
      </c>
    </row>
    <row r="8223" spans="1:2" x14ac:dyDescent="0.3">
      <c r="A8223" s="2">
        <v>46000.541666666657</v>
      </c>
      <c r="B8223">
        <f>4507.05113579795*(3/4)</f>
        <v>3380.2883518484659</v>
      </c>
    </row>
    <row r="8224" spans="1:2" x14ac:dyDescent="0.3">
      <c r="A8224" s="2">
        <v>46000.583333333343</v>
      </c>
      <c r="B8224">
        <f>4012.56977993928*(3/4)</f>
        <v>3009.4273349544592</v>
      </c>
    </row>
    <row r="8225" spans="1:2" x14ac:dyDescent="0.3">
      <c r="A8225" s="2">
        <v>46000.625</v>
      </c>
      <c r="B8225">
        <f>4409.7212614138*(3/4)</f>
        <v>3307.2909460603514</v>
      </c>
    </row>
    <row r="8226" spans="1:2" x14ac:dyDescent="0.3">
      <c r="A8226" s="2">
        <v>46000.666666666657</v>
      </c>
      <c r="B8226">
        <f>4543.40594492612*(3/4)</f>
        <v>3407.5544586945898</v>
      </c>
    </row>
    <row r="8227" spans="1:2" x14ac:dyDescent="0.3">
      <c r="A8227" s="2">
        <v>46000.708333333343</v>
      </c>
      <c r="B8227">
        <f>4662.34618185182*(3/4)</f>
        <v>3496.7596363888624</v>
      </c>
    </row>
    <row r="8228" spans="1:2" x14ac:dyDescent="0.3">
      <c r="A8228" s="2">
        <v>46000.75</v>
      </c>
      <c r="B8228">
        <f>4469.0935993275*(3/4)</f>
        <v>3351.820199495628</v>
      </c>
    </row>
    <row r="8229" spans="1:2" x14ac:dyDescent="0.3">
      <c r="A8229" s="2">
        <v>46000.791666666657</v>
      </c>
      <c r="B8229">
        <f>4517.78902151644*(3/4)</f>
        <v>3388.3417661373314</v>
      </c>
    </row>
    <row r="8230" spans="1:2" x14ac:dyDescent="0.3">
      <c r="A8230" s="2">
        <v>46000.833333333343</v>
      </c>
      <c r="B8230">
        <f>4786.90671691677*(3/4)</f>
        <v>3590.1800376875763</v>
      </c>
    </row>
    <row r="8231" spans="1:2" x14ac:dyDescent="0.3">
      <c r="A8231" s="2">
        <v>46000.875</v>
      </c>
      <c r="B8231">
        <f>4261.00672556971*(3/4)</f>
        <v>3195.7550441772814</v>
      </c>
    </row>
    <row r="8232" spans="1:2" x14ac:dyDescent="0.3">
      <c r="A8232" s="2">
        <v>46000.916666666657</v>
      </c>
      <c r="B8232">
        <f>4468.29364483779*(3/4)</f>
        <v>3351.2202336283426</v>
      </c>
    </row>
    <row r="8233" spans="1:2" x14ac:dyDescent="0.3">
      <c r="A8233" s="2">
        <v>46000.958333333343</v>
      </c>
      <c r="B8233">
        <f>4362.04533377189*(3/4)</f>
        <v>3271.5340003289139</v>
      </c>
    </row>
    <row r="8234" spans="1:2" x14ac:dyDescent="0.3">
      <c r="A8234" s="2">
        <v>46001</v>
      </c>
      <c r="B8234">
        <f>3930.98768742736*(3/4)</f>
        <v>2948.2407655705174</v>
      </c>
    </row>
    <row r="8235" spans="1:2" x14ac:dyDescent="0.3">
      <c r="A8235" s="2">
        <v>46001.041666666657</v>
      </c>
      <c r="B8235">
        <f>4218.47822265731*(3/4)</f>
        <v>3163.858666992985</v>
      </c>
    </row>
    <row r="8236" spans="1:2" x14ac:dyDescent="0.3">
      <c r="A8236" s="2">
        <v>46001.083333333343</v>
      </c>
      <c r="B8236">
        <f>4100.34746667937*(3/4)</f>
        <v>3075.2606000095293</v>
      </c>
    </row>
    <row r="8237" spans="1:2" x14ac:dyDescent="0.3">
      <c r="A8237" s="2">
        <v>46001.125</v>
      </c>
      <c r="B8237">
        <f>4144.18079883163*(3/4)</f>
        <v>3108.1355991237197</v>
      </c>
    </row>
    <row r="8238" spans="1:2" x14ac:dyDescent="0.3">
      <c r="A8238" s="2">
        <v>46001.166666666657</v>
      </c>
      <c r="B8238">
        <f>4605.34391542675*(3/4)</f>
        <v>3454.0079365700617</v>
      </c>
    </row>
    <row r="8239" spans="1:2" x14ac:dyDescent="0.3">
      <c r="A8239" s="2">
        <v>46001.208333333343</v>
      </c>
      <c r="B8239">
        <f>4454.74337596411*(3/4)</f>
        <v>3341.0575319730833</v>
      </c>
    </row>
    <row r="8240" spans="1:2" x14ac:dyDescent="0.3">
      <c r="A8240" s="2">
        <v>46001.25</v>
      </c>
      <c r="B8240">
        <f>4226.50712935022*(3/4)</f>
        <v>3169.8803470126632</v>
      </c>
    </row>
    <row r="8241" spans="1:2" x14ac:dyDescent="0.3">
      <c r="A8241" s="2">
        <v>46001.291666666657</v>
      </c>
      <c r="B8241">
        <f>4571.51922885204*(3/4)</f>
        <v>3428.6394216390336</v>
      </c>
    </row>
    <row r="8242" spans="1:2" x14ac:dyDescent="0.3">
      <c r="A8242" s="2">
        <v>46001.333333333343</v>
      </c>
      <c r="B8242">
        <f>4796.112485919*(3/4)</f>
        <v>3597.0843644392526</v>
      </c>
    </row>
    <row r="8243" spans="1:2" x14ac:dyDescent="0.3">
      <c r="A8243" s="2">
        <v>46001.375</v>
      </c>
      <c r="B8243">
        <f>4520.90040308781*(3/4)</f>
        <v>3390.6753023158581</v>
      </c>
    </row>
    <row r="8244" spans="1:2" x14ac:dyDescent="0.3">
      <c r="A8244" s="2">
        <v>46001.416666666657</v>
      </c>
      <c r="B8244">
        <f>4377.37674492146*(3/4)</f>
        <v>3283.0325586910976</v>
      </c>
    </row>
    <row r="8245" spans="1:2" x14ac:dyDescent="0.3">
      <c r="A8245" s="2">
        <v>46001.458333333343</v>
      </c>
      <c r="B8245">
        <f>4393.39648849426*(3/4)</f>
        <v>3295.0473663706962</v>
      </c>
    </row>
    <row r="8246" spans="1:2" x14ac:dyDescent="0.3">
      <c r="A8246" s="2">
        <v>46001.5</v>
      </c>
      <c r="B8246">
        <f>4578.34659012476*(3/4)</f>
        <v>3433.7599425935678</v>
      </c>
    </row>
    <row r="8247" spans="1:2" x14ac:dyDescent="0.3">
      <c r="A8247" s="2">
        <v>46001.541666666657</v>
      </c>
      <c r="B8247">
        <f>4690.98246314854*(3/4)</f>
        <v>3518.2368473614069</v>
      </c>
    </row>
    <row r="8248" spans="1:2" x14ac:dyDescent="0.3">
      <c r="A8248" s="2">
        <v>46001.583333333343</v>
      </c>
      <c r="B8248">
        <f>4137.41442624022*(3/4)</f>
        <v>3103.0608196801613</v>
      </c>
    </row>
    <row r="8249" spans="1:2" x14ac:dyDescent="0.3">
      <c r="A8249" s="2">
        <v>46001.625</v>
      </c>
      <c r="B8249">
        <f>4698.98319701623*(3/4)</f>
        <v>3524.237397762171</v>
      </c>
    </row>
    <row r="8250" spans="1:2" x14ac:dyDescent="0.3">
      <c r="A8250" s="2">
        <v>46001.666666666657</v>
      </c>
      <c r="B8250">
        <f>4737.71495137201*(3/4)</f>
        <v>3553.2862135290079</v>
      </c>
    </row>
    <row r="8251" spans="1:2" x14ac:dyDescent="0.3">
      <c r="A8251" s="2">
        <v>46001.708333333343</v>
      </c>
      <c r="B8251">
        <f>4355.1525206382*(3/4)</f>
        <v>3266.3643904786486</v>
      </c>
    </row>
    <row r="8252" spans="1:2" x14ac:dyDescent="0.3">
      <c r="A8252" s="2">
        <v>46001.75</v>
      </c>
      <c r="B8252">
        <f>4318.81982363705*(3/4)</f>
        <v>3239.1148677277888</v>
      </c>
    </row>
    <row r="8253" spans="1:2" x14ac:dyDescent="0.3">
      <c r="A8253" s="2">
        <v>46001.791666666657</v>
      </c>
      <c r="B8253">
        <f>4600.41841122563*(3/4)</f>
        <v>3450.3138084192187</v>
      </c>
    </row>
    <row r="8254" spans="1:2" x14ac:dyDescent="0.3">
      <c r="A8254" s="2">
        <v>46001.833333333343</v>
      </c>
      <c r="B8254">
        <f>4429.83011874706*(3/4)</f>
        <v>3322.3725890602973</v>
      </c>
    </row>
    <row r="8255" spans="1:2" x14ac:dyDescent="0.3">
      <c r="A8255" s="2">
        <v>46001.875</v>
      </c>
      <c r="B8255">
        <f>4669.28755388761*(3/4)</f>
        <v>3501.9656654157097</v>
      </c>
    </row>
    <row r="8256" spans="1:2" x14ac:dyDescent="0.3">
      <c r="A8256" s="2">
        <v>46001.916666666657</v>
      </c>
      <c r="B8256">
        <f>4020.45607363273*(3/4)</f>
        <v>3015.3420552245452</v>
      </c>
    </row>
    <row r="8257" spans="1:2" x14ac:dyDescent="0.3">
      <c r="A8257" s="2">
        <v>46001.958333333343</v>
      </c>
      <c r="B8257">
        <f>4231.39798684788*(3/4)</f>
        <v>3173.5484901359077</v>
      </c>
    </row>
    <row r="8258" spans="1:2" x14ac:dyDescent="0.3">
      <c r="A8258" s="2">
        <v>46002</v>
      </c>
      <c r="B8258">
        <f>4497.6244770042*(3/4)</f>
        <v>3373.2183577531523</v>
      </c>
    </row>
    <row r="8259" spans="1:2" x14ac:dyDescent="0.3">
      <c r="A8259" s="2">
        <v>46002.041666666657</v>
      </c>
      <c r="B8259">
        <f>4312.54851957342*(3/4)</f>
        <v>3234.4113896800636</v>
      </c>
    </row>
    <row r="8260" spans="1:2" x14ac:dyDescent="0.3">
      <c r="A8260" s="2">
        <v>46002.083333333343</v>
      </c>
      <c r="B8260">
        <f>4365.68781100542*(3/4)</f>
        <v>3274.2658582540662</v>
      </c>
    </row>
    <row r="8261" spans="1:2" x14ac:dyDescent="0.3">
      <c r="A8261" s="2">
        <v>46002.125</v>
      </c>
      <c r="B8261">
        <f>4357.212894965*(3/4)</f>
        <v>3267.9096712237483</v>
      </c>
    </row>
    <row r="8262" spans="1:2" x14ac:dyDescent="0.3">
      <c r="A8262" s="2">
        <v>46002.166666666657</v>
      </c>
      <c r="B8262">
        <f>4618.58262041273*(3/4)</f>
        <v>3463.9369653095464</v>
      </c>
    </row>
    <row r="8263" spans="1:2" x14ac:dyDescent="0.3">
      <c r="A8263" s="2">
        <v>46002.208333333343</v>
      </c>
      <c r="B8263">
        <f>4363.51394691958*(3/4)</f>
        <v>3272.6354601896828</v>
      </c>
    </row>
    <row r="8264" spans="1:2" x14ac:dyDescent="0.3">
      <c r="A8264" s="2">
        <v>46002.25</v>
      </c>
      <c r="B8264">
        <f>4243.74836864422*(3/4)</f>
        <v>3182.8112764831649</v>
      </c>
    </row>
    <row r="8265" spans="1:2" x14ac:dyDescent="0.3">
      <c r="A8265" s="2">
        <v>46002.291666666657</v>
      </c>
      <c r="B8265">
        <f>4268.32629191691*(3/4)</f>
        <v>3201.244718937679</v>
      </c>
    </row>
    <row r="8266" spans="1:2" x14ac:dyDescent="0.3">
      <c r="A8266" s="2">
        <v>46002.333333333343</v>
      </c>
      <c r="B8266">
        <f>4642.77467815933*(3/4)</f>
        <v>3482.0810086194965</v>
      </c>
    </row>
    <row r="8267" spans="1:2" x14ac:dyDescent="0.3">
      <c r="A8267" s="2">
        <v>46002.375</v>
      </c>
      <c r="B8267">
        <f>4352.55755595944*(3/4)</f>
        <v>3264.4181669695781</v>
      </c>
    </row>
    <row r="8268" spans="1:2" x14ac:dyDescent="0.3">
      <c r="A8268" s="2">
        <v>46002.416666666657</v>
      </c>
      <c r="B8268">
        <f>4283.30537634291*(3/4)</f>
        <v>3212.4790322571826</v>
      </c>
    </row>
    <row r="8269" spans="1:2" x14ac:dyDescent="0.3">
      <c r="A8269" s="2">
        <v>46002.458333333343</v>
      </c>
      <c r="B8269">
        <f>4499.74551390918*(3/4)</f>
        <v>3374.8091354318813</v>
      </c>
    </row>
    <row r="8270" spans="1:2" x14ac:dyDescent="0.3">
      <c r="A8270" s="2">
        <v>46002.5</v>
      </c>
      <c r="B8270">
        <f>4507.98531960042*(3/4)</f>
        <v>3380.9889897003177</v>
      </c>
    </row>
    <row r="8271" spans="1:2" x14ac:dyDescent="0.3">
      <c r="A8271" s="2">
        <v>46002.541666666657</v>
      </c>
      <c r="B8271">
        <f>4550.62823872026*(3/4)</f>
        <v>3412.9711790401934</v>
      </c>
    </row>
    <row r="8272" spans="1:2" x14ac:dyDescent="0.3">
      <c r="A8272" s="2">
        <v>46002.583333333343</v>
      </c>
      <c r="B8272">
        <f>4235.99185605577*(3/4)</f>
        <v>3176.993892041829</v>
      </c>
    </row>
    <row r="8273" spans="1:2" x14ac:dyDescent="0.3">
      <c r="A8273" s="2">
        <v>46002.625</v>
      </c>
      <c r="B8273">
        <f>4633.3538557723*(3/4)</f>
        <v>3475.0153918292281</v>
      </c>
    </row>
    <row r="8274" spans="1:2" x14ac:dyDescent="0.3">
      <c r="A8274" s="2">
        <v>46002.666666666657</v>
      </c>
      <c r="B8274">
        <f>4800*(3/4)</f>
        <v>3600</v>
      </c>
    </row>
    <row r="8275" spans="1:2" x14ac:dyDescent="0.3">
      <c r="A8275" s="2">
        <v>46002.708333333343</v>
      </c>
      <c r="B8275">
        <f>4568.20365833517*(3/4)</f>
        <v>3426.152743751381</v>
      </c>
    </row>
    <row r="8276" spans="1:2" x14ac:dyDescent="0.3">
      <c r="A8276" s="2">
        <v>46002.75</v>
      </c>
      <c r="B8276">
        <f>4661.06190940081*(3/4)</f>
        <v>3495.796432050608</v>
      </c>
    </row>
    <row r="8277" spans="1:2" x14ac:dyDescent="0.3">
      <c r="A8277" s="2">
        <v>46002.791666666657</v>
      </c>
      <c r="B8277">
        <f>4468.14552666513*(3/4)</f>
        <v>3351.1091449988489</v>
      </c>
    </row>
    <row r="8278" spans="1:2" x14ac:dyDescent="0.3">
      <c r="A8278" s="2">
        <v>46002.833333333343</v>
      </c>
      <c r="B8278">
        <f>4436.67164712158*(3/4)</f>
        <v>3327.5037353411872</v>
      </c>
    </row>
    <row r="8279" spans="1:2" x14ac:dyDescent="0.3">
      <c r="A8279" s="2">
        <v>46002.875</v>
      </c>
      <c r="B8279">
        <f>4404.80778385657*(3/4)</f>
        <v>3303.605837892429</v>
      </c>
    </row>
    <row r="8280" spans="1:2" x14ac:dyDescent="0.3">
      <c r="A8280" s="2">
        <v>46002.916666666657</v>
      </c>
      <c r="B8280">
        <f>3928.98085547527*(3/4)</f>
        <v>2946.7356416064504</v>
      </c>
    </row>
    <row r="8281" spans="1:2" x14ac:dyDescent="0.3">
      <c r="A8281" s="2">
        <v>46002.958333333343</v>
      </c>
      <c r="B8281">
        <f>4174.14890751194*(3/4)</f>
        <v>3130.611680633956</v>
      </c>
    </row>
    <row r="8282" spans="1:2" x14ac:dyDescent="0.3">
      <c r="A8282" s="2">
        <v>46003</v>
      </c>
      <c r="B8282">
        <f>4503.88137666752*(3/4)</f>
        <v>3377.9110325006436</v>
      </c>
    </row>
    <row r="8283" spans="1:2" x14ac:dyDescent="0.3">
      <c r="A8283" s="2">
        <v>46003.041666666657</v>
      </c>
      <c r="B8283">
        <f>4116.2736635355*(3/4)</f>
        <v>3087.2052476516255</v>
      </c>
    </row>
    <row r="8284" spans="1:2" x14ac:dyDescent="0.3">
      <c r="A8284" s="2">
        <v>46003.083333333343</v>
      </c>
      <c r="B8284">
        <f>4244.54044505826*(3/4)</f>
        <v>3183.4053337936921</v>
      </c>
    </row>
    <row r="8285" spans="1:2" x14ac:dyDescent="0.3">
      <c r="A8285" s="2">
        <v>46003.125</v>
      </c>
      <c r="B8285">
        <f>4586.30142782316*(3/4)</f>
        <v>3439.7260708673693</v>
      </c>
    </row>
    <row r="8286" spans="1:2" x14ac:dyDescent="0.3">
      <c r="A8286" s="2">
        <v>46003.166666666657</v>
      </c>
      <c r="B8286">
        <f>4286.87998581197*(3/4)</f>
        <v>3215.1599893589796</v>
      </c>
    </row>
    <row r="8287" spans="1:2" x14ac:dyDescent="0.3">
      <c r="A8287" s="2">
        <v>46003.208333333343</v>
      </c>
      <c r="B8287">
        <f>4094.94604767855*(3/4)</f>
        <v>3071.2095357589133</v>
      </c>
    </row>
    <row r="8288" spans="1:2" x14ac:dyDescent="0.3">
      <c r="A8288" s="2">
        <v>46003.25</v>
      </c>
      <c r="B8288">
        <f>4185.8318629638*(3/4)</f>
        <v>3139.3738972228525</v>
      </c>
    </row>
    <row r="8289" spans="1:2" x14ac:dyDescent="0.3">
      <c r="A8289" s="2">
        <v>46003.291666666657</v>
      </c>
      <c r="B8289">
        <f>4677.96634563092*(3/4)</f>
        <v>3508.4747592231888</v>
      </c>
    </row>
    <row r="8290" spans="1:2" x14ac:dyDescent="0.3">
      <c r="A8290" s="2">
        <v>46003.333333333343</v>
      </c>
      <c r="B8290">
        <f>4439.07083031286*(3/4)</f>
        <v>3329.3031227346473</v>
      </c>
    </row>
    <row r="8291" spans="1:2" x14ac:dyDescent="0.3">
      <c r="A8291" s="2">
        <v>46003.375</v>
      </c>
      <c r="B8291">
        <f>4536.34819700852*(3/4)</f>
        <v>3402.2611477563937</v>
      </c>
    </row>
    <row r="8292" spans="1:2" x14ac:dyDescent="0.3">
      <c r="A8292" s="2">
        <v>46003.416666666657</v>
      </c>
      <c r="B8292">
        <f>4436.95808938573*(3/4)</f>
        <v>3327.7185670392983</v>
      </c>
    </row>
    <row r="8293" spans="1:2" x14ac:dyDescent="0.3">
      <c r="A8293" s="2">
        <v>46003.458333333343</v>
      </c>
      <c r="B8293">
        <f>4425.07386605369*(3/4)</f>
        <v>3318.805399540267</v>
      </c>
    </row>
    <row r="8294" spans="1:2" x14ac:dyDescent="0.3">
      <c r="A8294" s="2">
        <v>46003.5</v>
      </c>
      <c r="B8294">
        <f>4468.72735202012*(3/4)</f>
        <v>3351.5455140150871</v>
      </c>
    </row>
    <row r="8295" spans="1:2" x14ac:dyDescent="0.3">
      <c r="A8295" s="2">
        <v>46003.541666666657</v>
      </c>
      <c r="B8295">
        <f>4620.22166178856*(3/4)</f>
        <v>3465.1662463414164</v>
      </c>
    </row>
    <row r="8296" spans="1:2" x14ac:dyDescent="0.3">
      <c r="A8296" s="2">
        <v>46003.583333333343</v>
      </c>
      <c r="B8296">
        <f>4314.20890505426*(3/4)</f>
        <v>3235.6566787906968</v>
      </c>
    </row>
    <row r="8297" spans="1:2" x14ac:dyDescent="0.3">
      <c r="A8297" s="2">
        <v>46003.625</v>
      </c>
      <c r="B8297">
        <f>4562.63963129206*(3/4)</f>
        <v>3421.9797234690432</v>
      </c>
    </row>
    <row r="8298" spans="1:2" x14ac:dyDescent="0.3">
      <c r="A8298" s="2">
        <v>46003.666666666657</v>
      </c>
      <c r="B8298">
        <f>4273.60481709841*(3/4)</f>
        <v>3205.2036128238092</v>
      </c>
    </row>
    <row r="8299" spans="1:2" x14ac:dyDescent="0.3">
      <c r="A8299" s="2">
        <v>46003.708333333343</v>
      </c>
      <c r="B8299">
        <f>4652.07638410195*(3/4)</f>
        <v>3489.0572880764639</v>
      </c>
    </row>
    <row r="8300" spans="1:2" x14ac:dyDescent="0.3">
      <c r="A8300" s="2">
        <v>46003.75</v>
      </c>
      <c r="B8300">
        <f>4680.79350738857*(3/4)</f>
        <v>3510.5951305414264</v>
      </c>
    </row>
    <row r="8301" spans="1:2" x14ac:dyDescent="0.3">
      <c r="A8301" s="2">
        <v>46003.791666666657</v>
      </c>
      <c r="B8301">
        <f>4259.34569167168*(3/4)</f>
        <v>3194.5092687537626</v>
      </c>
    </row>
    <row r="8302" spans="1:2" x14ac:dyDescent="0.3">
      <c r="A8302" s="2">
        <v>46003.833333333343</v>
      </c>
      <c r="B8302">
        <f>4231.38510823683*(3/4)</f>
        <v>3173.5388311776233</v>
      </c>
    </row>
    <row r="8303" spans="1:2" x14ac:dyDescent="0.3">
      <c r="A8303" s="2">
        <v>46003.875</v>
      </c>
      <c r="B8303">
        <f>4238.02197162825*(3/4)</f>
        <v>3178.5164787211843</v>
      </c>
    </row>
    <row r="8304" spans="1:2" x14ac:dyDescent="0.3">
      <c r="A8304" s="2">
        <v>46003.916666666657</v>
      </c>
      <c r="B8304">
        <f>4355.81886275326*(3/4)</f>
        <v>3266.864147064945</v>
      </c>
    </row>
    <row r="8305" spans="1:2" x14ac:dyDescent="0.3">
      <c r="A8305" s="2">
        <v>46003.958333333343</v>
      </c>
      <c r="B8305">
        <f>4093.48497504488*(3/4)</f>
        <v>3070.1137312836577</v>
      </c>
    </row>
    <row r="8306" spans="1:2" x14ac:dyDescent="0.3">
      <c r="A8306" s="2">
        <v>46004</v>
      </c>
      <c r="B8306">
        <f>4495.11692912247*(3/4)</f>
        <v>3371.3376968418497</v>
      </c>
    </row>
    <row r="8307" spans="1:2" x14ac:dyDescent="0.3">
      <c r="A8307" s="2">
        <v>46004.041666666657</v>
      </c>
      <c r="B8307">
        <f>4266.58893139441*(3/4)</f>
        <v>3199.9416985458074</v>
      </c>
    </row>
    <row r="8308" spans="1:2" x14ac:dyDescent="0.3">
      <c r="A8308" s="2">
        <v>46004.083333333343</v>
      </c>
      <c r="B8308">
        <f>4518.91427559623*(3/4)</f>
        <v>3389.1857066971747</v>
      </c>
    </row>
    <row r="8309" spans="1:2" x14ac:dyDescent="0.3">
      <c r="A8309" s="2">
        <v>46004.125</v>
      </c>
      <c r="B8309">
        <f>4418.85456191734*(3/4)</f>
        <v>3314.1409214380083</v>
      </c>
    </row>
    <row r="8310" spans="1:2" x14ac:dyDescent="0.3">
      <c r="A8310" s="2">
        <v>46004.166666666657</v>
      </c>
      <c r="B8310">
        <f>3991.34642984438*(3/4)</f>
        <v>2993.509822383287</v>
      </c>
    </row>
    <row r="8311" spans="1:2" x14ac:dyDescent="0.3">
      <c r="A8311" s="2">
        <v>46004.208333333343</v>
      </c>
      <c r="B8311">
        <f>4281.88599422653*(3/4)</f>
        <v>3211.4144956698956</v>
      </c>
    </row>
    <row r="8312" spans="1:2" x14ac:dyDescent="0.3">
      <c r="A8312" s="2">
        <v>46004.25</v>
      </c>
      <c r="B8312">
        <f>4121.5528112269*(3/4)</f>
        <v>3091.1646084201775</v>
      </c>
    </row>
    <row r="8313" spans="1:2" x14ac:dyDescent="0.3">
      <c r="A8313" s="2">
        <v>46004.291666666657</v>
      </c>
      <c r="B8313">
        <f>4445.52359001688*(3/4)</f>
        <v>3334.1426925126593</v>
      </c>
    </row>
    <row r="8314" spans="1:2" x14ac:dyDescent="0.3">
      <c r="A8314" s="2">
        <v>46004.333333333343</v>
      </c>
      <c r="B8314">
        <f>4422.75616498533*(3/4)</f>
        <v>3317.067123738997</v>
      </c>
    </row>
    <row r="8315" spans="1:2" x14ac:dyDescent="0.3">
      <c r="A8315" s="2">
        <v>46004.375</v>
      </c>
      <c r="B8315">
        <f>4501.198965753*(3/4)</f>
        <v>3375.8992243147477</v>
      </c>
    </row>
    <row r="8316" spans="1:2" x14ac:dyDescent="0.3">
      <c r="A8316" s="2">
        <v>46004.416666666657</v>
      </c>
      <c r="B8316">
        <f>4268.87790563247*(3/4)</f>
        <v>3201.6584292243547</v>
      </c>
    </row>
    <row r="8317" spans="1:2" x14ac:dyDescent="0.3">
      <c r="A8317" s="2">
        <v>46004.458333333343</v>
      </c>
      <c r="B8317">
        <f>4584.39009194519*(3/4)</f>
        <v>3438.2925689588924</v>
      </c>
    </row>
    <row r="8318" spans="1:2" x14ac:dyDescent="0.3">
      <c r="A8318" s="2">
        <v>46004.5</v>
      </c>
      <c r="B8318">
        <f>4269.60195014019*(3/4)</f>
        <v>3202.2014626051437</v>
      </c>
    </row>
    <row r="8319" spans="1:2" x14ac:dyDescent="0.3">
      <c r="A8319" s="2">
        <v>46004.541666666657</v>
      </c>
      <c r="B8319">
        <f>4462.69207619898*(3/4)</f>
        <v>3347.0190571492353</v>
      </c>
    </row>
    <row r="8320" spans="1:2" x14ac:dyDescent="0.3">
      <c r="A8320" s="2">
        <v>46004.583333333343</v>
      </c>
      <c r="B8320">
        <f>4237.87532232033*(3/4)</f>
        <v>3178.4064917402475</v>
      </c>
    </row>
    <row r="8321" spans="1:2" x14ac:dyDescent="0.3">
      <c r="A8321" s="2">
        <v>46004.625</v>
      </c>
      <c r="B8321">
        <f>4636.21929261182*(3/4)</f>
        <v>3477.1644694588613</v>
      </c>
    </row>
    <row r="8322" spans="1:2" x14ac:dyDescent="0.3">
      <c r="A8322" s="2">
        <v>46004.666666666657</v>
      </c>
      <c r="B8322">
        <f>4454.27651604932*(3/4)</f>
        <v>3340.7073870369913</v>
      </c>
    </row>
    <row r="8323" spans="1:2" x14ac:dyDescent="0.3">
      <c r="A8323" s="2">
        <v>46004.708333333343</v>
      </c>
      <c r="B8323">
        <f>4296.10125242613*(3/4)</f>
        <v>3222.0759393195945</v>
      </c>
    </row>
    <row r="8324" spans="1:2" x14ac:dyDescent="0.3">
      <c r="A8324" s="2">
        <v>46004.75</v>
      </c>
      <c r="B8324">
        <f>4358.85626076938*(3/4)</f>
        <v>3269.1421955770325</v>
      </c>
    </row>
    <row r="8325" spans="1:2" x14ac:dyDescent="0.3">
      <c r="A8325" s="2">
        <v>46004.791666666657</v>
      </c>
      <c r="B8325">
        <f>4173.43165737011*(3/4)</f>
        <v>3130.0737430275831</v>
      </c>
    </row>
    <row r="8326" spans="1:2" x14ac:dyDescent="0.3">
      <c r="A8326" s="2">
        <v>46004.833333333343</v>
      </c>
      <c r="B8326">
        <f>4109.16530311786*(3/4)</f>
        <v>3081.8739773383968</v>
      </c>
    </row>
    <row r="8327" spans="1:2" x14ac:dyDescent="0.3">
      <c r="A8327" s="2">
        <v>46004.875</v>
      </c>
      <c r="B8327">
        <f>4322.35702296993*(3/4)</f>
        <v>3241.7677672274449</v>
      </c>
    </row>
    <row r="8328" spans="1:2" x14ac:dyDescent="0.3">
      <c r="A8328" s="2">
        <v>46004.916666666657</v>
      </c>
      <c r="B8328">
        <f>4140.93722995344*(3/4)</f>
        <v>3105.7029224650832</v>
      </c>
    </row>
    <row r="8329" spans="1:2" x14ac:dyDescent="0.3">
      <c r="A8329" s="2">
        <v>46004.958333333343</v>
      </c>
      <c r="B8329">
        <f>4466.04192148008*(3/4)</f>
        <v>3349.5314411100576</v>
      </c>
    </row>
    <row r="8330" spans="1:2" x14ac:dyDescent="0.3">
      <c r="A8330" s="2">
        <v>46005</v>
      </c>
      <c r="B8330">
        <f>4353.37792300578*(3/4)</f>
        <v>3265.0334422543356</v>
      </c>
    </row>
    <row r="8331" spans="1:2" x14ac:dyDescent="0.3">
      <c r="A8331" s="2">
        <v>46005.041666666657</v>
      </c>
      <c r="B8331">
        <f>4174.8786917714*(3/4)</f>
        <v>3131.1590188285477</v>
      </c>
    </row>
    <row r="8332" spans="1:2" x14ac:dyDescent="0.3">
      <c r="A8332" s="2">
        <v>46005.083333333343</v>
      </c>
      <c r="B8332">
        <f>4420.04667790796*(3/4)</f>
        <v>3315.0350084309703</v>
      </c>
    </row>
    <row r="8333" spans="1:2" x14ac:dyDescent="0.3">
      <c r="A8333" s="2">
        <v>46005.125</v>
      </c>
      <c r="B8333">
        <f>4303.56812367158*(3/4)</f>
        <v>3227.6760927536852</v>
      </c>
    </row>
    <row r="8334" spans="1:2" x14ac:dyDescent="0.3">
      <c r="A8334" s="2">
        <v>46005.166666666657</v>
      </c>
      <c r="B8334">
        <f>4030.27248342116*(3/4)</f>
        <v>3022.7043625658685</v>
      </c>
    </row>
    <row r="8335" spans="1:2" x14ac:dyDescent="0.3">
      <c r="A8335" s="2">
        <v>46005.208333333343</v>
      </c>
      <c r="B8335">
        <f>4136.06289632324*(3/4)</f>
        <v>3102.0471722424295</v>
      </c>
    </row>
    <row r="8336" spans="1:2" x14ac:dyDescent="0.3">
      <c r="A8336" s="2">
        <v>46005.25</v>
      </c>
      <c r="B8336">
        <f>4231.665539712*(3/4)</f>
        <v>3173.7491547840036</v>
      </c>
    </row>
    <row r="8337" spans="1:2" x14ac:dyDescent="0.3">
      <c r="A8337" s="2">
        <v>46005.291666666657</v>
      </c>
      <c r="B8337">
        <f>4274.46380445509*(3/4)</f>
        <v>3205.8478533413172</v>
      </c>
    </row>
    <row r="8338" spans="1:2" x14ac:dyDescent="0.3">
      <c r="A8338" s="2">
        <v>46005.333333333343</v>
      </c>
      <c r="B8338">
        <f>3561.52626618632*(3/4)</f>
        <v>2671.1446996397417</v>
      </c>
    </row>
    <row r="8339" spans="1:2" x14ac:dyDescent="0.3">
      <c r="A8339" s="2">
        <v>46005.375</v>
      </c>
      <c r="B8339">
        <f>3268.74664181384*(3/4)</f>
        <v>2451.5599813603803</v>
      </c>
    </row>
    <row r="8340" spans="1:2" x14ac:dyDescent="0.3">
      <c r="A8340" s="2">
        <v>46005.416666666657</v>
      </c>
      <c r="B8340">
        <f>3440.56362199384*(3/4)</f>
        <v>2580.4227164953809</v>
      </c>
    </row>
    <row r="8341" spans="1:2" x14ac:dyDescent="0.3">
      <c r="A8341" s="2">
        <v>46005.458333333343</v>
      </c>
      <c r="B8341">
        <f>3656.39277637082*(3/4)</f>
        <v>2742.2945822781139</v>
      </c>
    </row>
    <row r="8342" spans="1:2" x14ac:dyDescent="0.3">
      <c r="A8342" s="2">
        <v>46005.5</v>
      </c>
      <c r="B8342">
        <f>3790.77921110884*(3/4)</f>
        <v>2843.0844083316279</v>
      </c>
    </row>
    <row r="8343" spans="1:2" x14ac:dyDescent="0.3">
      <c r="A8343" s="2">
        <v>46005.541666666657</v>
      </c>
      <c r="B8343">
        <f>3382.75859459491*(3/4)</f>
        <v>2537.0689459461823</v>
      </c>
    </row>
    <row r="8344" spans="1:2" x14ac:dyDescent="0.3">
      <c r="A8344" s="2">
        <v>46005.583333333343</v>
      </c>
      <c r="B8344">
        <f>3143.02873685772*(3/4)</f>
        <v>2357.2715526432871</v>
      </c>
    </row>
    <row r="8345" spans="1:2" x14ac:dyDescent="0.3">
      <c r="A8345" s="2">
        <v>46005.625</v>
      </c>
      <c r="B8345">
        <f>3930.32183395128*(3/4)</f>
        <v>2947.7413754634599</v>
      </c>
    </row>
    <row r="8346" spans="1:2" x14ac:dyDescent="0.3">
      <c r="A8346" s="2">
        <v>46005.666666666657</v>
      </c>
      <c r="B8346">
        <f>3667.45640594236*(3/4)</f>
        <v>2750.5923044567721</v>
      </c>
    </row>
    <row r="8347" spans="1:2" x14ac:dyDescent="0.3">
      <c r="A8347" s="2">
        <v>46005.708333333343</v>
      </c>
      <c r="B8347">
        <f>4527.88474319064*(3/4)</f>
        <v>3395.9135573929784</v>
      </c>
    </row>
    <row r="8348" spans="1:2" x14ac:dyDescent="0.3">
      <c r="A8348" s="2">
        <v>46005.75</v>
      </c>
      <c r="B8348">
        <f>4457.42981511565*(3/4)</f>
        <v>3343.07236133674</v>
      </c>
    </row>
    <row r="8349" spans="1:2" x14ac:dyDescent="0.3">
      <c r="A8349" s="2">
        <v>46005.791666666657</v>
      </c>
      <c r="B8349">
        <f>4613.44562771142*(3/4)</f>
        <v>3460.0842207835658</v>
      </c>
    </row>
    <row r="8350" spans="1:2" x14ac:dyDescent="0.3">
      <c r="A8350" s="2">
        <v>46005.833333333343</v>
      </c>
      <c r="B8350">
        <f>4624.39732208827*(3/4)</f>
        <v>3468.2979915662008</v>
      </c>
    </row>
    <row r="8351" spans="1:2" x14ac:dyDescent="0.3">
      <c r="A8351" s="2">
        <v>46005.875</v>
      </c>
      <c r="B8351">
        <f>4449.47625178154*(3/4)</f>
        <v>3337.1071888361521</v>
      </c>
    </row>
    <row r="8352" spans="1:2" x14ac:dyDescent="0.3">
      <c r="A8352" s="2">
        <v>46005.916666666657</v>
      </c>
      <c r="B8352">
        <f>4205.21586764652*(3/4)</f>
        <v>3153.9119007348863</v>
      </c>
    </row>
    <row r="8353" spans="1:2" x14ac:dyDescent="0.3">
      <c r="A8353" s="2">
        <v>46005.958333333343</v>
      </c>
      <c r="B8353">
        <f>4303.76108749606*(3/4)</f>
        <v>3227.8208156220485</v>
      </c>
    </row>
    <row r="8354" spans="1:2" x14ac:dyDescent="0.3">
      <c r="A8354" s="2">
        <v>46006</v>
      </c>
      <c r="B8354">
        <f>4258.39295666446*(3/4)</f>
        <v>3193.7947174983437</v>
      </c>
    </row>
    <row r="8355" spans="1:2" x14ac:dyDescent="0.3">
      <c r="A8355" s="2">
        <v>46006.041666666657</v>
      </c>
      <c r="B8355">
        <f>4213.14679711852*(3/4)</f>
        <v>3159.8600978388877</v>
      </c>
    </row>
    <row r="8356" spans="1:2" x14ac:dyDescent="0.3">
      <c r="A8356" s="2">
        <v>46006.083333333343</v>
      </c>
      <c r="B8356">
        <f>4378.59362080981*(3/4)</f>
        <v>3283.9452156073557</v>
      </c>
    </row>
    <row r="8357" spans="1:2" x14ac:dyDescent="0.3">
      <c r="A8357" s="2">
        <v>46006.125</v>
      </c>
      <c r="B8357">
        <f>4247.07694280591*(3/4)</f>
        <v>3185.3077071044354</v>
      </c>
    </row>
    <row r="8358" spans="1:2" x14ac:dyDescent="0.3">
      <c r="A8358" s="2">
        <v>46006.166666666657</v>
      </c>
      <c r="B8358">
        <f>4598.93243976978*(3/4)</f>
        <v>3449.1993298273364</v>
      </c>
    </row>
    <row r="8359" spans="1:2" x14ac:dyDescent="0.3">
      <c r="A8359" s="2">
        <v>46006.208333333343</v>
      </c>
      <c r="B8359">
        <f>4322.03211530022*(3/4)</f>
        <v>3241.5240864751622</v>
      </c>
    </row>
    <row r="8360" spans="1:2" x14ac:dyDescent="0.3">
      <c r="A8360" s="2">
        <v>46006.25</v>
      </c>
      <c r="B8360">
        <f>4036.01374617082*(3/4)</f>
        <v>3027.0103096281118</v>
      </c>
    </row>
    <row r="8361" spans="1:2" x14ac:dyDescent="0.3">
      <c r="A8361" s="2">
        <v>46006.291666666657</v>
      </c>
      <c r="B8361">
        <f>4298.0952597622*(3/4)</f>
        <v>3223.5714448216522</v>
      </c>
    </row>
    <row r="8362" spans="1:2" x14ac:dyDescent="0.3">
      <c r="A8362" s="2">
        <v>46006.333333333343</v>
      </c>
      <c r="B8362">
        <f>4666.84985974558*(3/4)</f>
        <v>3500.1373948091859</v>
      </c>
    </row>
    <row r="8363" spans="1:2" x14ac:dyDescent="0.3">
      <c r="A8363" s="2">
        <v>46006.375</v>
      </c>
      <c r="B8363">
        <f>4342.38447935719*(3/4)</f>
        <v>3256.7883595178891</v>
      </c>
    </row>
    <row r="8364" spans="1:2" x14ac:dyDescent="0.3">
      <c r="A8364" s="2">
        <v>46006.416666666657</v>
      </c>
      <c r="B8364">
        <f>3743.79628041116*(3/4)</f>
        <v>2807.8472103083714</v>
      </c>
    </row>
    <row r="8365" spans="1:2" x14ac:dyDescent="0.3">
      <c r="A8365" s="2">
        <v>46006.458333333343</v>
      </c>
      <c r="B8365">
        <f>4731.65123839944*(3/4)</f>
        <v>3548.7384287995801</v>
      </c>
    </row>
    <row r="8366" spans="1:2" x14ac:dyDescent="0.3">
      <c r="A8366" s="2">
        <v>46006.5</v>
      </c>
      <c r="B8366">
        <f>4800*(3/4)</f>
        <v>3600</v>
      </c>
    </row>
    <row r="8367" spans="1:2" x14ac:dyDescent="0.3">
      <c r="A8367" s="2">
        <v>46006.541666666657</v>
      </c>
      <c r="B8367">
        <f>4726.17880649762*(3/4)</f>
        <v>3544.6341048732174</v>
      </c>
    </row>
    <row r="8368" spans="1:2" x14ac:dyDescent="0.3">
      <c r="A8368" s="2">
        <v>46006.583333333343</v>
      </c>
      <c r="B8368">
        <f>3957.80304472531*(3/4)</f>
        <v>2968.3522835439794</v>
      </c>
    </row>
    <row r="8369" spans="1:2" x14ac:dyDescent="0.3">
      <c r="A8369" s="2">
        <v>46006.625</v>
      </c>
      <c r="B8369">
        <f>4324.36144848998*(3/4)</f>
        <v>3243.2710863674874</v>
      </c>
    </row>
    <row r="8370" spans="1:2" x14ac:dyDescent="0.3">
      <c r="A8370" s="2">
        <v>46006.666666666657</v>
      </c>
      <c r="B8370">
        <f>4360.36046524365*(3/4)</f>
        <v>3270.2703489327359</v>
      </c>
    </row>
    <row r="8371" spans="1:2" x14ac:dyDescent="0.3">
      <c r="A8371" s="2">
        <v>46006.708333333343</v>
      </c>
      <c r="B8371">
        <f>4411.20729426069*(3/4)</f>
        <v>3308.4054706955203</v>
      </c>
    </row>
    <row r="8372" spans="1:2" x14ac:dyDescent="0.3">
      <c r="A8372" s="2">
        <v>46006.75</v>
      </c>
      <c r="B8372">
        <f>4292.09904772545*(3/4)</f>
        <v>3219.0742857940841</v>
      </c>
    </row>
    <row r="8373" spans="1:2" x14ac:dyDescent="0.3">
      <c r="A8373" s="2">
        <v>46006.791666666657</v>
      </c>
      <c r="B8373">
        <f>4533.37602058443*(3/4)</f>
        <v>3400.0320154383253</v>
      </c>
    </row>
    <row r="8374" spans="1:2" x14ac:dyDescent="0.3">
      <c r="A8374" s="2">
        <v>46006.833333333343</v>
      </c>
      <c r="B8374">
        <f>4714.60324093284*(3/4)</f>
        <v>3535.9524306996263</v>
      </c>
    </row>
    <row r="8375" spans="1:2" x14ac:dyDescent="0.3">
      <c r="A8375" s="2">
        <v>46006.875</v>
      </c>
      <c r="B8375">
        <f>4776.28847147661*(3/4)</f>
        <v>3582.2163536074568</v>
      </c>
    </row>
    <row r="8376" spans="1:2" x14ac:dyDescent="0.3">
      <c r="A8376" s="2">
        <v>46006.916666666657</v>
      </c>
      <c r="B8376">
        <f>4214.14979244562*(3/4)</f>
        <v>3160.6123443342185</v>
      </c>
    </row>
    <row r="8377" spans="1:2" x14ac:dyDescent="0.3">
      <c r="A8377" s="2">
        <v>46006.958333333343</v>
      </c>
      <c r="B8377">
        <f>4200.8939640645*(3/4)</f>
        <v>3150.6704730483734</v>
      </c>
    </row>
    <row r="8378" spans="1:2" x14ac:dyDescent="0.3">
      <c r="A8378" s="2">
        <v>46007</v>
      </c>
      <c r="B8378">
        <f>4519.21631582495*(3/4)</f>
        <v>3389.4122368687149</v>
      </c>
    </row>
    <row r="8379" spans="1:2" x14ac:dyDescent="0.3">
      <c r="A8379" s="2">
        <v>46007.041666666657</v>
      </c>
      <c r="B8379">
        <f>4041.73110380207*(3/4)</f>
        <v>3031.2983278515512</v>
      </c>
    </row>
    <row r="8380" spans="1:2" x14ac:dyDescent="0.3">
      <c r="A8380" s="2">
        <v>46007.083333333343</v>
      </c>
      <c r="B8380">
        <f>4341.08586333583*(3/4)</f>
        <v>3255.8143975018711</v>
      </c>
    </row>
    <row r="8381" spans="1:2" x14ac:dyDescent="0.3">
      <c r="A8381" s="2">
        <v>46007.125</v>
      </c>
      <c r="B8381">
        <f>4465.82723452624*(3/4)</f>
        <v>3349.3704258946782</v>
      </c>
    </row>
    <row r="8382" spans="1:2" x14ac:dyDescent="0.3">
      <c r="A8382" s="2">
        <v>46007.166666666657</v>
      </c>
      <c r="B8382">
        <f>4306.77381848809*(3/4)</f>
        <v>3230.0803638660655</v>
      </c>
    </row>
    <row r="8383" spans="1:2" x14ac:dyDescent="0.3">
      <c r="A8383" s="2">
        <v>46007.208333333343</v>
      </c>
      <c r="B8383">
        <f>3704.57268474399*(3/4)</f>
        <v>2778.4295135579941</v>
      </c>
    </row>
    <row r="8384" spans="1:2" x14ac:dyDescent="0.3">
      <c r="A8384" s="2">
        <v>46007.25</v>
      </c>
      <c r="B8384">
        <f>4174.00133864465*(3/4)</f>
        <v>3130.501003983486</v>
      </c>
    </row>
    <row r="8385" spans="1:2" x14ac:dyDescent="0.3">
      <c r="A8385" s="2">
        <v>46007.291666666657</v>
      </c>
      <c r="B8385">
        <f>4631.0280353748*(3/4)</f>
        <v>3473.2710265311034</v>
      </c>
    </row>
    <row r="8386" spans="1:2" x14ac:dyDescent="0.3">
      <c r="A8386" s="2">
        <v>46007.333333333343</v>
      </c>
      <c r="B8386">
        <f>4654.56770250447*(3/4)</f>
        <v>3490.9257768783518</v>
      </c>
    </row>
    <row r="8387" spans="1:2" x14ac:dyDescent="0.3">
      <c r="A8387" s="2">
        <v>46007.375</v>
      </c>
      <c r="B8387">
        <f>4569.44283050976*(3/4)</f>
        <v>3427.0821228823197</v>
      </c>
    </row>
    <row r="8388" spans="1:2" x14ac:dyDescent="0.3">
      <c r="A8388" s="2">
        <v>46007.416666666657</v>
      </c>
      <c r="B8388">
        <f>4664.54453066865*(3/4)</f>
        <v>3498.4083980014866</v>
      </c>
    </row>
    <row r="8389" spans="1:2" x14ac:dyDescent="0.3">
      <c r="A8389" s="2">
        <v>46007.458333333343</v>
      </c>
      <c r="B8389">
        <f>4692.03596635221*(3/4)</f>
        <v>3519.0269747641541</v>
      </c>
    </row>
    <row r="8390" spans="1:2" x14ac:dyDescent="0.3">
      <c r="A8390" s="2">
        <v>46007.5</v>
      </c>
      <c r="B8390">
        <f>4647.7853589578*(3/4)</f>
        <v>3485.8390192183479</v>
      </c>
    </row>
    <row r="8391" spans="1:2" x14ac:dyDescent="0.3">
      <c r="A8391" s="2">
        <v>46007.541666666657</v>
      </c>
      <c r="B8391">
        <f>4551.53438388686*(3/4)</f>
        <v>3413.6507879151418</v>
      </c>
    </row>
    <row r="8392" spans="1:2" x14ac:dyDescent="0.3">
      <c r="A8392" s="2">
        <v>46007.583333333343</v>
      </c>
      <c r="B8392">
        <f>4195.4693342312*(3/4)</f>
        <v>3146.6020006734025</v>
      </c>
    </row>
    <row r="8393" spans="1:2" x14ac:dyDescent="0.3">
      <c r="A8393" s="2">
        <v>46007.625</v>
      </c>
      <c r="B8393">
        <f>4630.39705944431*(3/4)</f>
        <v>3472.797794583229</v>
      </c>
    </row>
    <row r="8394" spans="1:2" x14ac:dyDescent="0.3">
      <c r="A8394" s="2">
        <v>46007.666666666657</v>
      </c>
      <c r="B8394">
        <f>4681.77515155055*(3/4)</f>
        <v>3511.3313636629096</v>
      </c>
    </row>
    <row r="8395" spans="1:2" x14ac:dyDescent="0.3">
      <c r="A8395" s="2">
        <v>46007.708333333343</v>
      </c>
      <c r="B8395">
        <f>4287.91476322552*(3/4)</f>
        <v>3215.9360724191433</v>
      </c>
    </row>
    <row r="8396" spans="1:2" x14ac:dyDescent="0.3">
      <c r="A8396" s="2">
        <v>46007.75</v>
      </c>
      <c r="B8396">
        <f>4596.1281210332*(3/4)</f>
        <v>3447.0960907748995</v>
      </c>
    </row>
    <row r="8397" spans="1:2" x14ac:dyDescent="0.3">
      <c r="A8397" s="2">
        <v>46007.791666666657</v>
      </c>
      <c r="B8397">
        <f>4584.39774506054*(3/4)</f>
        <v>3438.2983087954021</v>
      </c>
    </row>
    <row r="8398" spans="1:2" x14ac:dyDescent="0.3">
      <c r="A8398" s="2">
        <v>46007.833333333343</v>
      </c>
      <c r="B8398">
        <f>4409.403901692*(3/4)</f>
        <v>3307.0529262690025</v>
      </c>
    </row>
    <row r="8399" spans="1:2" x14ac:dyDescent="0.3">
      <c r="A8399" s="2">
        <v>46007.875</v>
      </c>
      <c r="B8399">
        <f>4424.53340613287*(3/4)</f>
        <v>3318.400054599656</v>
      </c>
    </row>
    <row r="8400" spans="1:2" x14ac:dyDescent="0.3">
      <c r="A8400" s="2">
        <v>46007.916666666657</v>
      </c>
      <c r="B8400">
        <f>3982.0653816642*(3/4)</f>
        <v>2986.5490362481523</v>
      </c>
    </row>
    <row r="8401" spans="1:2" x14ac:dyDescent="0.3">
      <c r="A8401" s="2">
        <v>46007.958333333343</v>
      </c>
      <c r="B8401">
        <f>4237.60404508519*(3/4)</f>
        <v>3178.2030338138948</v>
      </c>
    </row>
    <row r="8402" spans="1:2" x14ac:dyDescent="0.3">
      <c r="A8402" s="2">
        <v>46008</v>
      </c>
      <c r="B8402">
        <f>4423.67109962214*(3/4)</f>
        <v>3317.7533247166016</v>
      </c>
    </row>
    <row r="8403" spans="1:2" x14ac:dyDescent="0.3">
      <c r="A8403" s="2">
        <v>46008.041666666657</v>
      </c>
      <c r="B8403">
        <f>4130.32936238646*(3/4)</f>
        <v>3097.7470217898417</v>
      </c>
    </row>
    <row r="8404" spans="1:2" x14ac:dyDescent="0.3">
      <c r="A8404" s="2">
        <v>46008.083333333343</v>
      </c>
      <c r="B8404">
        <f>4397.66348546196*(3/4)</f>
        <v>3298.2476140964718</v>
      </c>
    </row>
    <row r="8405" spans="1:2" x14ac:dyDescent="0.3">
      <c r="A8405" s="2">
        <v>46008.125</v>
      </c>
      <c r="B8405">
        <f>4520.61021373882*(3/4)</f>
        <v>3390.4576603041141</v>
      </c>
    </row>
    <row r="8406" spans="1:2" x14ac:dyDescent="0.3">
      <c r="A8406" s="2">
        <v>46008.166666666657</v>
      </c>
      <c r="B8406">
        <f>4685.07463738891*(3/4)</f>
        <v>3513.8059780416856</v>
      </c>
    </row>
    <row r="8407" spans="1:2" x14ac:dyDescent="0.3">
      <c r="A8407" s="2">
        <v>46008.208333333343</v>
      </c>
      <c r="B8407">
        <f>4496.69845008183*(3/4)</f>
        <v>3372.5238375613703</v>
      </c>
    </row>
    <row r="8408" spans="1:2" x14ac:dyDescent="0.3">
      <c r="A8408" s="2">
        <v>46008.25</v>
      </c>
      <c r="B8408">
        <f>4205.30202265934*(3/4)</f>
        <v>3153.9765169945063</v>
      </c>
    </row>
    <row r="8409" spans="1:2" x14ac:dyDescent="0.3">
      <c r="A8409" s="2">
        <v>46008.291666666657</v>
      </c>
      <c r="B8409">
        <f>4577.15514971709*(3/4)</f>
        <v>3432.8663622878175</v>
      </c>
    </row>
    <row r="8410" spans="1:2" x14ac:dyDescent="0.3">
      <c r="A8410" s="2">
        <v>46008.333333333343</v>
      </c>
      <c r="B8410">
        <f>4677.00502249897*(3/4)</f>
        <v>3507.753766874227</v>
      </c>
    </row>
    <row r="8411" spans="1:2" x14ac:dyDescent="0.3">
      <c r="A8411" s="2">
        <v>46008.375</v>
      </c>
      <c r="B8411">
        <f>4277.38720763153*(3/4)</f>
        <v>3208.0404057236492</v>
      </c>
    </row>
    <row r="8412" spans="1:2" x14ac:dyDescent="0.3">
      <c r="A8412" s="2">
        <v>46008.416666666657</v>
      </c>
      <c r="B8412">
        <f>4404.35793270386*(3/4)</f>
        <v>3303.2684495278927</v>
      </c>
    </row>
    <row r="8413" spans="1:2" x14ac:dyDescent="0.3">
      <c r="A8413" s="2">
        <v>46008.458333333343</v>
      </c>
      <c r="B8413">
        <f>4618.8694602859*(3/4)</f>
        <v>3464.1520952144233</v>
      </c>
    </row>
    <row r="8414" spans="1:2" x14ac:dyDescent="0.3">
      <c r="A8414" s="2">
        <v>46008.5</v>
      </c>
      <c r="B8414">
        <f>4187.47934880322*(3/4)</f>
        <v>3140.6095116024135</v>
      </c>
    </row>
    <row r="8415" spans="1:2" x14ac:dyDescent="0.3">
      <c r="A8415" s="2">
        <v>46008.541666666657</v>
      </c>
      <c r="B8415">
        <f>4610.88691420727*(3/4)</f>
        <v>3458.1651856554508</v>
      </c>
    </row>
    <row r="8416" spans="1:2" x14ac:dyDescent="0.3">
      <c r="A8416" s="2">
        <v>46008.583333333343</v>
      </c>
      <c r="B8416">
        <f>4320.45463384512*(3/4)</f>
        <v>3240.3409753838405</v>
      </c>
    </row>
    <row r="8417" spans="1:2" x14ac:dyDescent="0.3">
      <c r="A8417" s="2">
        <v>46008.625</v>
      </c>
      <c r="B8417">
        <f>4329.86897701225*(3/4)</f>
        <v>3247.4017327591891</v>
      </c>
    </row>
    <row r="8418" spans="1:2" x14ac:dyDescent="0.3">
      <c r="A8418" s="2">
        <v>46008.666666666657</v>
      </c>
      <c r="B8418">
        <f>4393.95825882413*(3/4)</f>
        <v>3295.4686941181003</v>
      </c>
    </row>
    <row r="8419" spans="1:2" x14ac:dyDescent="0.3">
      <c r="A8419" s="2">
        <v>46008.708333333343</v>
      </c>
      <c r="B8419">
        <f>4289.53538003877*(3/4)</f>
        <v>3217.1515350290797</v>
      </c>
    </row>
    <row r="8420" spans="1:2" x14ac:dyDescent="0.3">
      <c r="A8420" s="2">
        <v>46008.75</v>
      </c>
      <c r="B8420">
        <f>4605.21858083681*(3/4)</f>
        <v>3453.9139356276055</v>
      </c>
    </row>
    <row r="8421" spans="1:2" x14ac:dyDescent="0.3">
      <c r="A8421" s="2">
        <v>46008.791666666657</v>
      </c>
      <c r="B8421">
        <f>4476.10139295577*(3/4)</f>
        <v>3357.0760447168259</v>
      </c>
    </row>
    <row r="8422" spans="1:2" x14ac:dyDescent="0.3">
      <c r="A8422" s="2">
        <v>46008.833333333343</v>
      </c>
      <c r="B8422">
        <f>4414.41135355737*(3/4)</f>
        <v>3310.8085151680239</v>
      </c>
    </row>
    <row r="8423" spans="1:2" x14ac:dyDescent="0.3">
      <c r="A8423" s="2">
        <v>46008.875</v>
      </c>
      <c r="B8423">
        <f>4358.10213496074*(3/4)</f>
        <v>3268.576601220554</v>
      </c>
    </row>
    <row r="8424" spans="1:2" x14ac:dyDescent="0.3">
      <c r="A8424" s="2">
        <v>46008.916666666657</v>
      </c>
      <c r="B8424">
        <f>3996.1858281921*(3/4)</f>
        <v>2997.1393711440751</v>
      </c>
    </row>
    <row r="8425" spans="1:2" x14ac:dyDescent="0.3">
      <c r="A8425" s="2">
        <v>46008.958333333343</v>
      </c>
      <c r="B8425">
        <f>4197.1100772271*(3/4)</f>
        <v>3147.8325579203279</v>
      </c>
    </row>
    <row r="8426" spans="1:2" x14ac:dyDescent="0.3">
      <c r="A8426" s="2">
        <v>46009</v>
      </c>
      <c r="B8426">
        <f>3961.80784998796*(3/4)</f>
        <v>2971.3558874909677</v>
      </c>
    </row>
    <row r="8427" spans="1:2" x14ac:dyDescent="0.3">
      <c r="A8427" s="2">
        <v>46009.041666666657</v>
      </c>
      <c r="B8427">
        <f>4074.23689300992*(3/4)</f>
        <v>3055.6776697574433</v>
      </c>
    </row>
    <row r="8428" spans="1:2" x14ac:dyDescent="0.3">
      <c r="A8428" s="2">
        <v>46009.083333333343</v>
      </c>
      <c r="B8428">
        <f>4307.15814801438*(3/4)</f>
        <v>3230.3686110107865</v>
      </c>
    </row>
    <row r="8429" spans="1:2" x14ac:dyDescent="0.3">
      <c r="A8429" s="2">
        <v>46009.125</v>
      </c>
      <c r="B8429">
        <f>4401.05495620785*(3/4)</f>
        <v>3300.7912171558883</v>
      </c>
    </row>
    <row r="8430" spans="1:2" x14ac:dyDescent="0.3">
      <c r="A8430" s="2">
        <v>46009.166666666657</v>
      </c>
      <c r="B8430">
        <f>4080.51964464859*(3/4)</f>
        <v>3060.3897334864428</v>
      </c>
    </row>
    <row r="8431" spans="1:2" x14ac:dyDescent="0.3">
      <c r="A8431" s="2">
        <v>46009.208333333343</v>
      </c>
      <c r="B8431">
        <f>4351.55077429686*(3/4)</f>
        <v>3263.6630807226447</v>
      </c>
    </row>
    <row r="8432" spans="1:2" x14ac:dyDescent="0.3">
      <c r="A8432" s="2">
        <v>46009.25</v>
      </c>
      <c r="B8432">
        <f>4377.61303393994*(3/4)</f>
        <v>3283.2097754549582</v>
      </c>
    </row>
    <row r="8433" spans="1:2" x14ac:dyDescent="0.3">
      <c r="A8433" s="2">
        <v>46009.291666666657</v>
      </c>
      <c r="B8433">
        <f>4709.96504521579*(3/4)</f>
        <v>3532.4737839118397</v>
      </c>
    </row>
    <row r="8434" spans="1:2" x14ac:dyDescent="0.3">
      <c r="A8434" s="2">
        <v>46009.333333333343</v>
      </c>
      <c r="B8434">
        <f>4789.99092386757*(3/4)</f>
        <v>3592.4931929006807</v>
      </c>
    </row>
    <row r="8435" spans="1:2" x14ac:dyDescent="0.3">
      <c r="A8435" s="2">
        <v>46009.375</v>
      </c>
      <c r="B8435">
        <f>4498.05017438053*(3/4)</f>
        <v>3373.5376307853994</v>
      </c>
    </row>
    <row r="8436" spans="1:2" x14ac:dyDescent="0.3">
      <c r="A8436" s="2">
        <v>46009.416666666657</v>
      </c>
      <c r="B8436">
        <f>4218.61557586988*(3/4)</f>
        <v>3163.9616819024131</v>
      </c>
    </row>
    <row r="8437" spans="1:2" x14ac:dyDescent="0.3">
      <c r="A8437" s="2">
        <v>46009.458333333343</v>
      </c>
      <c r="B8437">
        <f>4347.02697362391*(3/4)</f>
        <v>3260.2702302179305</v>
      </c>
    </row>
    <row r="8438" spans="1:2" x14ac:dyDescent="0.3">
      <c r="A8438" s="2">
        <v>46009.5</v>
      </c>
      <c r="B8438">
        <f>4800*(3/4)</f>
        <v>3600</v>
      </c>
    </row>
    <row r="8439" spans="1:2" x14ac:dyDescent="0.3">
      <c r="A8439" s="2">
        <v>46009.541666666657</v>
      </c>
      <c r="B8439">
        <f>4442.06951206488*(3/4)</f>
        <v>3331.5521340486566</v>
      </c>
    </row>
    <row r="8440" spans="1:2" x14ac:dyDescent="0.3">
      <c r="A8440" s="2">
        <v>46009.583333333343</v>
      </c>
      <c r="B8440">
        <f>4341.69094101444*(3/4)</f>
        <v>3256.2682057608272</v>
      </c>
    </row>
    <row r="8441" spans="1:2" x14ac:dyDescent="0.3">
      <c r="A8441" s="2">
        <v>46009.625</v>
      </c>
      <c r="B8441">
        <f>4653.68630078132*(3/4)</f>
        <v>3490.2647255859906</v>
      </c>
    </row>
    <row r="8442" spans="1:2" x14ac:dyDescent="0.3">
      <c r="A8442" s="2">
        <v>46009.666666666657</v>
      </c>
      <c r="B8442">
        <f>4684.90172886912*(3/4)</f>
        <v>3513.6762966518368</v>
      </c>
    </row>
    <row r="8443" spans="1:2" x14ac:dyDescent="0.3">
      <c r="A8443" s="2">
        <v>46009.708333333343</v>
      </c>
      <c r="B8443">
        <f>4241.0275344511*(3/4)</f>
        <v>3180.7706508383262</v>
      </c>
    </row>
    <row r="8444" spans="1:2" x14ac:dyDescent="0.3">
      <c r="A8444" s="2">
        <v>46009.75</v>
      </c>
      <c r="B8444">
        <f>4318.67132818394*(3/4)</f>
        <v>3239.0034961379579</v>
      </c>
    </row>
    <row r="8445" spans="1:2" x14ac:dyDescent="0.3">
      <c r="A8445" s="2">
        <v>46009.791666666657</v>
      </c>
      <c r="B8445">
        <f>4474.69572648313*(3/4)</f>
        <v>3356.0217948623458</v>
      </c>
    </row>
    <row r="8446" spans="1:2" x14ac:dyDescent="0.3">
      <c r="A8446" s="2">
        <v>46009.833333333343</v>
      </c>
      <c r="B8446">
        <f>4708.16341866413*(3/4)</f>
        <v>3531.1225639980958</v>
      </c>
    </row>
    <row r="8447" spans="1:2" x14ac:dyDescent="0.3">
      <c r="A8447" s="2">
        <v>46009.875</v>
      </c>
      <c r="B8447">
        <f>4462.4441968655*(3/4)</f>
        <v>3346.8331476491221</v>
      </c>
    </row>
    <row r="8448" spans="1:2" x14ac:dyDescent="0.3">
      <c r="A8448" s="2">
        <v>46009.916666666657</v>
      </c>
      <c r="B8448">
        <f>4176.05523951708*(3/4)</f>
        <v>3132.0414296378085</v>
      </c>
    </row>
    <row r="8449" spans="1:2" x14ac:dyDescent="0.3">
      <c r="A8449" s="2">
        <v>46009.958333333343</v>
      </c>
      <c r="B8449">
        <f>4508.70175011838*(3/4)</f>
        <v>3381.526312588785</v>
      </c>
    </row>
    <row r="8450" spans="1:2" x14ac:dyDescent="0.3">
      <c r="A8450" s="2">
        <v>46010</v>
      </c>
      <c r="B8450">
        <f>4502.16695973819*(3/4)</f>
        <v>3376.6252198036423</v>
      </c>
    </row>
    <row r="8451" spans="1:2" x14ac:dyDescent="0.3">
      <c r="A8451" s="2">
        <v>46010.041666666657</v>
      </c>
      <c r="B8451">
        <f>4370.68767751343*(3/4)</f>
        <v>3278.0157581350709</v>
      </c>
    </row>
    <row r="8452" spans="1:2" x14ac:dyDescent="0.3">
      <c r="A8452" s="2">
        <v>46010.083333333343</v>
      </c>
      <c r="B8452">
        <f>4357.56748529708*(3/4)</f>
        <v>3268.1756139728086</v>
      </c>
    </row>
    <row r="8453" spans="1:2" x14ac:dyDescent="0.3">
      <c r="A8453" s="2">
        <v>46010.125</v>
      </c>
      <c r="B8453">
        <f>4353.42769630654*(3/4)</f>
        <v>3265.0707722299039</v>
      </c>
    </row>
    <row r="8454" spans="1:2" x14ac:dyDescent="0.3">
      <c r="A8454" s="2">
        <v>46010.166666666657</v>
      </c>
      <c r="B8454">
        <f>4344.47538293594*(3/4)</f>
        <v>3258.3565372019566</v>
      </c>
    </row>
    <row r="8455" spans="1:2" x14ac:dyDescent="0.3">
      <c r="A8455" s="2">
        <v>46010.208333333343</v>
      </c>
      <c r="B8455">
        <f>4374.21240869605*(3/4)</f>
        <v>3280.6593065220341</v>
      </c>
    </row>
    <row r="8456" spans="1:2" x14ac:dyDescent="0.3">
      <c r="A8456" s="2">
        <v>46010.25</v>
      </c>
      <c r="B8456">
        <f>4036.71869612956*(3/4)</f>
        <v>3027.5390220971713</v>
      </c>
    </row>
    <row r="8457" spans="1:2" x14ac:dyDescent="0.3">
      <c r="A8457" s="2">
        <v>46010.291666666657</v>
      </c>
      <c r="B8457">
        <f>4503.61628428219*(3/4)</f>
        <v>3377.7122132116401</v>
      </c>
    </row>
    <row r="8458" spans="1:2" x14ac:dyDescent="0.3">
      <c r="A8458" s="2">
        <v>46010.333333333343</v>
      </c>
      <c r="B8458">
        <f>4548.27952545859*(3/4)</f>
        <v>3411.2096440939417</v>
      </c>
    </row>
    <row r="8459" spans="1:2" x14ac:dyDescent="0.3">
      <c r="A8459" s="2">
        <v>46010.375</v>
      </c>
      <c r="B8459">
        <f>3292.65651092814*(3/4)</f>
        <v>2469.4923831961059</v>
      </c>
    </row>
    <row r="8460" spans="1:2" x14ac:dyDescent="0.3">
      <c r="A8460" s="2">
        <v>46010.416666666657</v>
      </c>
      <c r="B8460">
        <f>4499.70301422901*(3/4)</f>
        <v>3374.7772606717554</v>
      </c>
    </row>
    <row r="8461" spans="1:2" x14ac:dyDescent="0.3">
      <c r="A8461" s="2">
        <v>46010.458333333343</v>
      </c>
      <c r="B8461">
        <f>4385.08337793989*(3/4)</f>
        <v>3288.8125334549168</v>
      </c>
    </row>
    <row r="8462" spans="1:2" x14ac:dyDescent="0.3">
      <c r="A8462" s="2">
        <v>46010.5</v>
      </c>
      <c r="B8462">
        <f>4248.91331645718*(3/4)</f>
        <v>3186.6849873428873</v>
      </c>
    </row>
    <row r="8463" spans="1:2" x14ac:dyDescent="0.3">
      <c r="A8463" s="2">
        <v>46010.541666666657</v>
      </c>
      <c r="B8463">
        <f>4740.18381841878*(3/4)</f>
        <v>3555.1378638140814</v>
      </c>
    </row>
    <row r="8464" spans="1:2" x14ac:dyDescent="0.3">
      <c r="A8464" s="2">
        <v>46010.583333333343</v>
      </c>
      <c r="B8464">
        <f>4109.94028116119*(3/4)</f>
        <v>3082.4552108708931</v>
      </c>
    </row>
    <row r="8465" spans="1:2" x14ac:dyDescent="0.3">
      <c r="A8465" s="2">
        <v>46010.625</v>
      </c>
      <c r="B8465">
        <f>4556.96965751143*(3/4)</f>
        <v>3417.727243133575</v>
      </c>
    </row>
    <row r="8466" spans="1:2" x14ac:dyDescent="0.3">
      <c r="A8466" s="2">
        <v>46010.666666666657</v>
      </c>
      <c r="B8466">
        <f>4268.08246168819*(3/4)</f>
        <v>3201.0618462661396</v>
      </c>
    </row>
    <row r="8467" spans="1:2" x14ac:dyDescent="0.3">
      <c r="A8467" s="2">
        <v>46010.708333333343</v>
      </c>
      <c r="B8467">
        <f>4548.50522988888*(3/4)</f>
        <v>3411.3789224166585</v>
      </c>
    </row>
    <row r="8468" spans="1:2" x14ac:dyDescent="0.3">
      <c r="A8468" s="2">
        <v>46010.75</v>
      </c>
      <c r="B8468">
        <f>4458.02467219054*(3/4)</f>
        <v>3343.5185041429049</v>
      </c>
    </row>
    <row r="8469" spans="1:2" x14ac:dyDescent="0.3">
      <c r="A8469" s="2">
        <v>46010.791666666657</v>
      </c>
      <c r="B8469">
        <f>4568.42752489648*(3/4)</f>
        <v>3426.3206436723617</v>
      </c>
    </row>
    <row r="8470" spans="1:2" x14ac:dyDescent="0.3">
      <c r="A8470" s="2">
        <v>46010.833333333343</v>
      </c>
      <c r="B8470">
        <f>4205.40754188578*(3/4)</f>
        <v>3154.055656414333</v>
      </c>
    </row>
    <row r="8471" spans="1:2" x14ac:dyDescent="0.3">
      <c r="A8471" s="2">
        <v>46010.875</v>
      </c>
      <c r="B8471">
        <f>4541.01332151446*(3/4)</f>
        <v>3405.7599911358434</v>
      </c>
    </row>
    <row r="8472" spans="1:2" x14ac:dyDescent="0.3">
      <c r="A8472" s="2">
        <v>46010.916666666657</v>
      </c>
      <c r="B8472">
        <f>4339.79738395615*(3/4)</f>
        <v>3254.8480379671159</v>
      </c>
    </row>
    <row r="8473" spans="1:2" x14ac:dyDescent="0.3">
      <c r="A8473" s="2">
        <v>46010.958333333343</v>
      </c>
      <c r="B8473">
        <f>4482.78705199788*(3/4)</f>
        <v>3362.0902889984127</v>
      </c>
    </row>
    <row r="8474" spans="1:2" x14ac:dyDescent="0.3">
      <c r="A8474" s="2">
        <v>46011</v>
      </c>
      <c r="B8474">
        <f>4338.87289572516*(3/4)</f>
        <v>3254.15467179387</v>
      </c>
    </row>
    <row r="8475" spans="1:2" x14ac:dyDescent="0.3">
      <c r="A8475" s="2">
        <v>46011.041666666657</v>
      </c>
      <c r="B8475">
        <f>4312.0289644345*(3/4)</f>
        <v>3234.0217233258736</v>
      </c>
    </row>
    <row r="8476" spans="1:2" x14ac:dyDescent="0.3">
      <c r="A8476" s="2">
        <v>46011.083333333343</v>
      </c>
      <c r="B8476">
        <f>4091.21229243012*(3/4)</f>
        <v>3068.4092193225915</v>
      </c>
    </row>
    <row r="8477" spans="1:2" x14ac:dyDescent="0.3">
      <c r="A8477" s="2">
        <v>46011.125</v>
      </c>
      <c r="B8477">
        <f>4566.10136121117*(3/4)</f>
        <v>3424.5760209083792</v>
      </c>
    </row>
    <row r="8478" spans="1:2" x14ac:dyDescent="0.3">
      <c r="A8478" s="2">
        <v>46011.166666666657</v>
      </c>
      <c r="B8478">
        <f>4165.78856364807*(3/4)</f>
        <v>3124.3414227360536</v>
      </c>
    </row>
    <row r="8479" spans="1:2" x14ac:dyDescent="0.3">
      <c r="A8479" s="2">
        <v>46011.208333333343</v>
      </c>
      <c r="B8479">
        <f>4405.94506882408*(3/4)</f>
        <v>3304.4588016180605</v>
      </c>
    </row>
    <row r="8480" spans="1:2" x14ac:dyDescent="0.3">
      <c r="A8480" s="2">
        <v>46011.25</v>
      </c>
      <c r="B8480">
        <f>4390.57219523541*(3/4)</f>
        <v>3292.9291464265543</v>
      </c>
    </row>
    <row r="8481" spans="1:2" x14ac:dyDescent="0.3">
      <c r="A8481" s="2">
        <v>46011.291666666657</v>
      </c>
      <c r="B8481">
        <f>4422.27545515177*(3/4)</f>
        <v>3316.7065913638262</v>
      </c>
    </row>
    <row r="8482" spans="1:2" x14ac:dyDescent="0.3">
      <c r="A8482" s="2">
        <v>46011.333333333343</v>
      </c>
      <c r="B8482">
        <f>4764.63952596695*(3/4)</f>
        <v>3573.4796444752128</v>
      </c>
    </row>
    <row r="8483" spans="1:2" x14ac:dyDescent="0.3">
      <c r="A8483" s="2">
        <v>46011.375</v>
      </c>
      <c r="B8483">
        <f>4307.79663250373*(3/4)</f>
        <v>3230.8474743777961</v>
      </c>
    </row>
    <row r="8484" spans="1:2" x14ac:dyDescent="0.3">
      <c r="A8484" s="2">
        <v>46011.416666666657</v>
      </c>
      <c r="B8484">
        <f>4730.18458917716*(3/4)</f>
        <v>3547.6384418828684</v>
      </c>
    </row>
    <row r="8485" spans="1:2" x14ac:dyDescent="0.3">
      <c r="A8485" s="2">
        <v>46011.458333333343</v>
      </c>
      <c r="B8485">
        <f>4666.81374518228*(3/4)</f>
        <v>3500.1103088867112</v>
      </c>
    </row>
    <row r="8486" spans="1:2" x14ac:dyDescent="0.3">
      <c r="A8486" s="2">
        <v>46011.5</v>
      </c>
      <c r="B8486">
        <f>4539.67808384519*(3/4)</f>
        <v>3404.7585628838942</v>
      </c>
    </row>
    <row r="8487" spans="1:2" x14ac:dyDescent="0.3">
      <c r="A8487" s="2">
        <v>46011.541666666657</v>
      </c>
      <c r="B8487">
        <f>4449.71121254512*(3/4)</f>
        <v>3337.2834094088412</v>
      </c>
    </row>
    <row r="8488" spans="1:2" x14ac:dyDescent="0.3">
      <c r="A8488" s="2">
        <v>46011.583333333343</v>
      </c>
      <c r="B8488">
        <f>4093.66911534244*(3/4)</f>
        <v>3070.2518365068318</v>
      </c>
    </row>
    <row r="8489" spans="1:2" x14ac:dyDescent="0.3">
      <c r="A8489" s="2">
        <v>46011.625</v>
      </c>
      <c r="B8489">
        <f>4342.66421106502*(3/4)</f>
        <v>3256.9981582987675</v>
      </c>
    </row>
    <row r="8490" spans="1:2" x14ac:dyDescent="0.3">
      <c r="A8490" s="2">
        <v>46011.666666666657</v>
      </c>
      <c r="B8490">
        <f>4799.35593578443*(3/4)</f>
        <v>3599.5169518383195</v>
      </c>
    </row>
    <row r="8491" spans="1:2" x14ac:dyDescent="0.3">
      <c r="A8491" s="2">
        <v>46011.708333333343</v>
      </c>
      <c r="B8491">
        <f>4646.98308477348*(3/4)</f>
        <v>3485.2373135801099</v>
      </c>
    </row>
    <row r="8492" spans="1:2" x14ac:dyDescent="0.3">
      <c r="A8492" s="2">
        <v>46011.75</v>
      </c>
      <c r="B8492">
        <f>4454.48469789003*(3/4)</f>
        <v>3340.8635234175249</v>
      </c>
    </row>
    <row r="8493" spans="1:2" x14ac:dyDescent="0.3">
      <c r="A8493" s="2">
        <v>46011.791666666657</v>
      </c>
      <c r="B8493">
        <f>4553.83037382128*(3/4)</f>
        <v>3415.3727803659567</v>
      </c>
    </row>
    <row r="8494" spans="1:2" x14ac:dyDescent="0.3">
      <c r="A8494" s="2">
        <v>46011.833333333343</v>
      </c>
      <c r="B8494">
        <f>4567.95721959808*(3/4)</f>
        <v>3425.9679146985586</v>
      </c>
    </row>
    <row r="8495" spans="1:2" x14ac:dyDescent="0.3">
      <c r="A8495" s="2">
        <v>46011.875</v>
      </c>
      <c r="B8495">
        <f>4269.02292429096*(3/4)</f>
        <v>3201.767193218222</v>
      </c>
    </row>
    <row r="8496" spans="1:2" x14ac:dyDescent="0.3">
      <c r="A8496" s="2">
        <v>46011.916666666657</v>
      </c>
      <c r="B8496">
        <f>4320.69113268155*(3/4)</f>
        <v>3240.5183495111605</v>
      </c>
    </row>
    <row r="8497" spans="1:2" x14ac:dyDescent="0.3">
      <c r="A8497" s="2">
        <v>46011.958333333343</v>
      </c>
      <c r="B8497">
        <f>4334.69236153938*(3/4)</f>
        <v>3251.0192711545351</v>
      </c>
    </row>
    <row r="8498" spans="1:2" x14ac:dyDescent="0.3">
      <c r="A8498" s="2">
        <v>46012</v>
      </c>
      <c r="B8498">
        <f>4613.27069502151*(3/4)</f>
        <v>3459.9530212661357</v>
      </c>
    </row>
    <row r="8499" spans="1:2" x14ac:dyDescent="0.3">
      <c r="A8499" s="2">
        <v>46012.041666666657</v>
      </c>
      <c r="B8499">
        <f>4307.20283058371*(3/4)</f>
        <v>3230.4021229377827</v>
      </c>
    </row>
    <row r="8500" spans="1:2" x14ac:dyDescent="0.3">
      <c r="A8500" s="2">
        <v>46012.083333333343</v>
      </c>
      <c r="B8500">
        <f>4105.02119984487*(3/4)</f>
        <v>3078.7658998836523</v>
      </c>
    </row>
    <row r="8501" spans="1:2" x14ac:dyDescent="0.3">
      <c r="A8501" s="2">
        <v>46012.125</v>
      </c>
      <c r="B8501">
        <f>4322.59879771632*(3/4)</f>
        <v>3241.9490982872439</v>
      </c>
    </row>
    <row r="8502" spans="1:2" x14ac:dyDescent="0.3">
      <c r="A8502" s="2">
        <v>46012.166666666657</v>
      </c>
      <c r="B8502">
        <f>4342.27385089705*(3/4)</f>
        <v>3256.7053881727838</v>
      </c>
    </row>
    <row r="8503" spans="1:2" x14ac:dyDescent="0.3">
      <c r="A8503" s="2">
        <v>46012.208333333343</v>
      </c>
      <c r="B8503">
        <f>4274.17990923463*(3/4)</f>
        <v>3205.6349319259734</v>
      </c>
    </row>
    <row r="8504" spans="1:2" x14ac:dyDescent="0.3">
      <c r="A8504" s="2">
        <v>46012.25</v>
      </c>
      <c r="B8504">
        <f>4363.9152355202*(3/4)</f>
        <v>3272.9364266401526</v>
      </c>
    </row>
    <row r="8505" spans="1:2" x14ac:dyDescent="0.3">
      <c r="A8505" s="2">
        <v>46012.291666666657</v>
      </c>
      <c r="B8505">
        <f>4537.68085272529*(3/4)</f>
        <v>3403.2606395439643</v>
      </c>
    </row>
    <row r="8506" spans="1:2" x14ac:dyDescent="0.3">
      <c r="A8506" s="2">
        <v>46012.333333333343</v>
      </c>
      <c r="B8506">
        <f>3749.28179002762*(3/4)</f>
        <v>2811.9613425207135</v>
      </c>
    </row>
    <row r="8507" spans="1:2" x14ac:dyDescent="0.3">
      <c r="A8507" s="2">
        <v>46012.375</v>
      </c>
      <c r="B8507">
        <f>3747.983464146*(3/4)</f>
        <v>2810.9875981095001</v>
      </c>
    </row>
    <row r="8508" spans="1:2" x14ac:dyDescent="0.3">
      <c r="A8508" s="2">
        <v>46012.416666666657</v>
      </c>
      <c r="B8508">
        <f>3363.04201196701*(3/4)</f>
        <v>2522.2815089752598</v>
      </c>
    </row>
    <row r="8509" spans="1:2" x14ac:dyDescent="0.3">
      <c r="A8509" s="2">
        <v>46012.458333333343</v>
      </c>
      <c r="B8509">
        <f>3456.45281432021*(3/4)</f>
        <v>2592.3396107401595</v>
      </c>
    </row>
    <row r="8510" spans="1:2" x14ac:dyDescent="0.3">
      <c r="A8510" s="2">
        <v>46012.5</v>
      </c>
      <c r="B8510">
        <f>3413.56400095595*(3/4)</f>
        <v>2560.173000716959</v>
      </c>
    </row>
    <row r="8511" spans="1:2" x14ac:dyDescent="0.3">
      <c r="A8511" s="2">
        <v>46012.541666666657</v>
      </c>
      <c r="B8511">
        <f>3348.83235162165*(3/4)</f>
        <v>2511.6242637162377</v>
      </c>
    </row>
    <row r="8512" spans="1:2" x14ac:dyDescent="0.3">
      <c r="A8512" s="2">
        <v>46012.583333333343</v>
      </c>
      <c r="B8512">
        <f>3346.79906090814*(3/4)</f>
        <v>2510.0992956811074</v>
      </c>
    </row>
    <row r="8513" spans="1:2" x14ac:dyDescent="0.3">
      <c r="A8513" s="2">
        <v>46012.625</v>
      </c>
      <c r="B8513">
        <f>3693.20968284225*(3/4)</f>
        <v>2769.907262131685</v>
      </c>
    </row>
    <row r="8514" spans="1:2" x14ac:dyDescent="0.3">
      <c r="A8514" s="2">
        <v>46012.666666666657</v>
      </c>
      <c r="B8514">
        <f>3817.3879451805*(3/4)</f>
        <v>2863.0409588853745</v>
      </c>
    </row>
    <row r="8515" spans="1:2" x14ac:dyDescent="0.3">
      <c r="A8515" s="2">
        <v>46012.708333333343</v>
      </c>
      <c r="B8515">
        <f>4494.96170227813*(3/4)</f>
        <v>3371.2212767085948</v>
      </c>
    </row>
    <row r="8516" spans="1:2" x14ac:dyDescent="0.3">
      <c r="A8516" s="2">
        <v>46012.75</v>
      </c>
      <c r="B8516">
        <f>4450.21287540803*(3/4)</f>
        <v>3337.6596565560235</v>
      </c>
    </row>
    <row r="8517" spans="1:2" x14ac:dyDescent="0.3">
      <c r="A8517" s="2">
        <v>46012.791666666657</v>
      </c>
      <c r="B8517">
        <f>4262.78637563512*(3/4)</f>
        <v>3197.0897817263431</v>
      </c>
    </row>
    <row r="8518" spans="1:2" x14ac:dyDescent="0.3">
      <c r="A8518" s="2">
        <v>46012.833333333343</v>
      </c>
      <c r="B8518">
        <f>4481.00556283621*(3/4)</f>
        <v>3360.7541721271546</v>
      </c>
    </row>
    <row r="8519" spans="1:2" x14ac:dyDescent="0.3">
      <c r="A8519" s="2">
        <v>46012.875</v>
      </c>
      <c r="B8519">
        <f>4442.26337646644*(3/4)</f>
        <v>3331.69753234983</v>
      </c>
    </row>
    <row r="8520" spans="1:2" x14ac:dyDescent="0.3">
      <c r="A8520" s="2">
        <v>46012.916666666657</v>
      </c>
      <c r="B8520">
        <f>3986.20889886347*(3/4)</f>
        <v>2989.6566741476054</v>
      </c>
    </row>
    <row r="8521" spans="1:2" x14ac:dyDescent="0.3">
      <c r="A8521" s="2">
        <v>46012.958333333343</v>
      </c>
      <c r="B8521">
        <f>4514.66721255945*(3/4)</f>
        <v>3386.0004094195874</v>
      </c>
    </row>
    <row r="8522" spans="1:2" x14ac:dyDescent="0.3">
      <c r="A8522" s="2">
        <v>46013</v>
      </c>
      <c r="B8522">
        <f>4266.65327213996*(3/4)</f>
        <v>3199.9899541049663</v>
      </c>
    </row>
    <row r="8523" spans="1:2" x14ac:dyDescent="0.3">
      <c r="A8523" s="2">
        <v>46013.041666666657</v>
      </c>
      <c r="B8523">
        <f>4297.55283162676*(3/4)</f>
        <v>3223.1646237200675</v>
      </c>
    </row>
    <row r="8524" spans="1:2" x14ac:dyDescent="0.3">
      <c r="A8524" s="2">
        <v>46013.083333333343</v>
      </c>
      <c r="B8524">
        <f>4293.79911852466*(3/4)</f>
        <v>3220.3493388934944</v>
      </c>
    </row>
    <row r="8525" spans="1:2" x14ac:dyDescent="0.3">
      <c r="A8525" s="2">
        <v>46013.125</v>
      </c>
      <c r="B8525">
        <f>4174.5592726071*(3/4)</f>
        <v>3130.9194544553275</v>
      </c>
    </row>
    <row r="8526" spans="1:2" x14ac:dyDescent="0.3">
      <c r="A8526" s="2">
        <v>46013.166666666657</v>
      </c>
      <c r="B8526">
        <f>4414.12556125705*(3/4)</f>
        <v>3310.5941709427889</v>
      </c>
    </row>
    <row r="8527" spans="1:2" x14ac:dyDescent="0.3">
      <c r="A8527" s="2">
        <v>46013.208333333343</v>
      </c>
      <c r="B8527">
        <f>4536.41291124854*(3/4)</f>
        <v>3402.3096834364014</v>
      </c>
    </row>
    <row r="8528" spans="1:2" x14ac:dyDescent="0.3">
      <c r="A8528" s="2">
        <v>46013.25</v>
      </c>
      <c r="B8528">
        <f>3942.00768407337*(3/4)</f>
        <v>2956.5057630550282</v>
      </c>
    </row>
    <row r="8529" spans="1:2" x14ac:dyDescent="0.3">
      <c r="A8529" s="2">
        <v>46013.291666666657</v>
      </c>
      <c r="B8529">
        <f>4511.3360423382*(3/4)</f>
        <v>3383.50203175365</v>
      </c>
    </row>
    <row r="8530" spans="1:2" x14ac:dyDescent="0.3">
      <c r="A8530" s="2">
        <v>46013.333333333343</v>
      </c>
      <c r="B8530">
        <f>4349.69727318892*(3/4)</f>
        <v>3262.27295489169</v>
      </c>
    </row>
    <row r="8531" spans="1:2" x14ac:dyDescent="0.3">
      <c r="A8531" s="2">
        <v>46013.375</v>
      </c>
      <c r="B8531">
        <f>4451.23547996417*(3/4)</f>
        <v>3338.4266099731276</v>
      </c>
    </row>
    <row r="8532" spans="1:2" x14ac:dyDescent="0.3">
      <c r="A8532" s="2">
        <v>46013.416666666657</v>
      </c>
      <c r="B8532">
        <f>4402.17158254424*(3/4)</f>
        <v>3301.6286869081814</v>
      </c>
    </row>
    <row r="8533" spans="1:2" x14ac:dyDescent="0.3">
      <c r="A8533" s="2">
        <v>46013.458333333343</v>
      </c>
      <c r="B8533">
        <f>4178.63332224683*(3/4)</f>
        <v>3133.9749916851215</v>
      </c>
    </row>
    <row r="8534" spans="1:2" x14ac:dyDescent="0.3">
      <c r="A8534" s="2">
        <v>46013.5</v>
      </c>
      <c r="B8534">
        <f>4351.54956702822*(3/4)</f>
        <v>3263.6621752711681</v>
      </c>
    </row>
    <row r="8535" spans="1:2" x14ac:dyDescent="0.3">
      <c r="A8535" s="2">
        <v>46013.541666666657</v>
      </c>
      <c r="B8535">
        <f>4744.03808452542*(3/4)</f>
        <v>3558.0285633940675</v>
      </c>
    </row>
    <row r="8536" spans="1:2" x14ac:dyDescent="0.3">
      <c r="A8536" s="2">
        <v>46013.583333333343</v>
      </c>
      <c r="B8536">
        <f>4348.36179264165*(3/4)</f>
        <v>3261.2713444812407</v>
      </c>
    </row>
    <row r="8537" spans="1:2" x14ac:dyDescent="0.3">
      <c r="A8537" s="2">
        <v>46013.625</v>
      </c>
      <c r="B8537">
        <f>4241.84801215262*(3/4)</f>
        <v>3181.3860091144652</v>
      </c>
    </row>
    <row r="8538" spans="1:2" x14ac:dyDescent="0.3">
      <c r="A8538" s="2">
        <v>46013.666666666657</v>
      </c>
      <c r="B8538">
        <f>4229.01076202547*(3/4)</f>
        <v>3171.758071519102</v>
      </c>
    </row>
    <row r="8539" spans="1:2" x14ac:dyDescent="0.3">
      <c r="A8539" s="2">
        <v>46013.708333333343</v>
      </c>
      <c r="B8539">
        <f>4794.8071825153*(3/4)</f>
        <v>3596.1053868864728</v>
      </c>
    </row>
    <row r="8540" spans="1:2" x14ac:dyDescent="0.3">
      <c r="A8540" s="2">
        <v>46013.75</v>
      </c>
      <c r="B8540">
        <f>4423.14337705533*(3/4)</f>
        <v>3317.3575327914969</v>
      </c>
    </row>
    <row r="8541" spans="1:2" x14ac:dyDescent="0.3">
      <c r="A8541" s="2">
        <v>46013.791666666657</v>
      </c>
      <c r="B8541">
        <f>4251.12143282694*(3/4)</f>
        <v>3188.3410746202017</v>
      </c>
    </row>
    <row r="8542" spans="1:2" x14ac:dyDescent="0.3">
      <c r="A8542" s="2">
        <v>46013.833333333343</v>
      </c>
      <c r="B8542">
        <f>4469.21923530221*(3/4)</f>
        <v>3351.9144264766542</v>
      </c>
    </row>
    <row r="8543" spans="1:2" x14ac:dyDescent="0.3">
      <c r="A8543" s="2">
        <v>46013.875</v>
      </c>
      <c r="B8543">
        <f>4433.02064347044*(3/4)</f>
        <v>3324.7654826028324</v>
      </c>
    </row>
    <row r="8544" spans="1:2" x14ac:dyDescent="0.3">
      <c r="A8544" s="2">
        <v>46013.916666666657</v>
      </c>
      <c r="B8544">
        <f>3948.52672310039*(3/4)</f>
        <v>2961.3950423252927</v>
      </c>
    </row>
    <row r="8545" spans="1:2" x14ac:dyDescent="0.3">
      <c r="A8545" s="2">
        <v>46013.958333333343</v>
      </c>
      <c r="B8545">
        <f>4631.6545174908*(3/4)</f>
        <v>3473.7408881180972</v>
      </c>
    </row>
    <row r="8546" spans="1:2" x14ac:dyDescent="0.3">
      <c r="A8546" s="2">
        <v>46014</v>
      </c>
      <c r="B8546">
        <f>4065.87703477547*(3/4)</f>
        <v>3049.4077760816008</v>
      </c>
    </row>
    <row r="8547" spans="1:2" x14ac:dyDescent="0.3">
      <c r="A8547" s="2">
        <v>46014.041666666657</v>
      </c>
      <c r="B8547">
        <f>4063.79672202239*(3/4)</f>
        <v>3047.8475415167932</v>
      </c>
    </row>
    <row r="8548" spans="1:2" x14ac:dyDescent="0.3">
      <c r="A8548" s="2">
        <v>46014.083333333343</v>
      </c>
      <c r="B8548">
        <f>4127.14454884613*(3/4)</f>
        <v>3095.3584116345992</v>
      </c>
    </row>
    <row r="8549" spans="1:2" x14ac:dyDescent="0.3">
      <c r="A8549" s="2">
        <v>46014.125</v>
      </c>
      <c r="B8549">
        <f>4158.54754390771*(3/4)</f>
        <v>3118.9106579307836</v>
      </c>
    </row>
    <row r="8550" spans="1:2" x14ac:dyDescent="0.3">
      <c r="A8550" s="2">
        <v>46014.166666666657</v>
      </c>
      <c r="B8550">
        <f>4333.41952612053*(3/4)</f>
        <v>3250.0646445903944</v>
      </c>
    </row>
    <row r="8551" spans="1:2" x14ac:dyDescent="0.3">
      <c r="A8551" s="2">
        <v>46014.208333333343</v>
      </c>
      <c r="B8551">
        <f>4359.45811116547*(3/4)</f>
        <v>3269.5935833741023</v>
      </c>
    </row>
    <row r="8552" spans="1:2" x14ac:dyDescent="0.3">
      <c r="A8552" s="2">
        <v>46014.25</v>
      </c>
      <c r="B8552">
        <f>4099.58380407726*(3/4)</f>
        <v>3074.6878530579461</v>
      </c>
    </row>
    <row r="8553" spans="1:2" x14ac:dyDescent="0.3">
      <c r="A8553" s="2">
        <v>46014.291666666657</v>
      </c>
      <c r="B8553">
        <f>4231.64321630151*(3/4)</f>
        <v>3173.7324122261316</v>
      </c>
    </row>
    <row r="8554" spans="1:2" x14ac:dyDescent="0.3">
      <c r="A8554" s="2">
        <v>46014.333333333343</v>
      </c>
      <c r="B8554">
        <f>4515.09868224562*(3/4)</f>
        <v>3386.3240116842144</v>
      </c>
    </row>
    <row r="8555" spans="1:2" x14ac:dyDescent="0.3">
      <c r="A8555" s="2">
        <v>46014.375</v>
      </c>
      <c r="B8555">
        <f>4503.79035990584*(3/4)</f>
        <v>3377.842769929382</v>
      </c>
    </row>
    <row r="8556" spans="1:2" x14ac:dyDescent="0.3">
      <c r="A8556" s="2">
        <v>46014.416666666657</v>
      </c>
      <c r="B8556">
        <f>4545.29570817512*(3/4)</f>
        <v>3408.9717811313431</v>
      </c>
    </row>
    <row r="8557" spans="1:2" x14ac:dyDescent="0.3">
      <c r="A8557" s="2">
        <v>46014.458333333343</v>
      </c>
      <c r="B8557">
        <f>4617.50896540285*(3/4)</f>
        <v>3463.1317240521357</v>
      </c>
    </row>
    <row r="8558" spans="1:2" x14ac:dyDescent="0.3">
      <c r="A8558" s="2">
        <v>46014.5</v>
      </c>
      <c r="B8558">
        <f>4732.6193781024*(3/4)</f>
        <v>3549.4645335768023</v>
      </c>
    </row>
    <row r="8559" spans="1:2" x14ac:dyDescent="0.3">
      <c r="A8559" s="2">
        <v>46014.541666666657</v>
      </c>
      <c r="B8559">
        <f>4331.99730883845*(3/4)</f>
        <v>3248.9979816288364</v>
      </c>
    </row>
    <row r="8560" spans="1:2" x14ac:dyDescent="0.3">
      <c r="A8560" s="2">
        <v>46014.583333333343</v>
      </c>
      <c r="B8560">
        <f>4119.11660138564*(3/4)</f>
        <v>3089.3374510392277</v>
      </c>
    </row>
    <row r="8561" spans="1:2" x14ac:dyDescent="0.3">
      <c r="A8561" s="2">
        <v>46014.625</v>
      </c>
      <c r="B8561">
        <f>4235.38362670032*(3/4)</f>
        <v>3176.5377200252415</v>
      </c>
    </row>
    <row r="8562" spans="1:2" x14ac:dyDescent="0.3">
      <c r="A8562" s="2">
        <v>46014.666666666657</v>
      </c>
      <c r="B8562">
        <f>4572.84457044759*(3/4)</f>
        <v>3429.6334278356944</v>
      </c>
    </row>
    <row r="8563" spans="1:2" x14ac:dyDescent="0.3">
      <c r="A8563" s="2">
        <v>46014.708333333343</v>
      </c>
      <c r="B8563">
        <f>4351.71408293333*(3/4)</f>
        <v>3263.785562199997</v>
      </c>
    </row>
    <row r="8564" spans="1:2" x14ac:dyDescent="0.3">
      <c r="A8564" s="2">
        <v>46014.75</v>
      </c>
      <c r="B8564">
        <f>4396.22774650458*(3/4)</f>
        <v>3297.1708098784375</v>
      </c>
    </row>
    <row r="8565" spans="1:2" x14ac:dyDescent="0.3">
      <c r="A8565" s="2">
        <v>46014.791666666657</v>
      </c>
      <c r="B8565">
        <f>4278.68022499474*(3/4)</f>
        <v>3209.0101687460519</v>
      </c>
    </row>
    <row r="8566" spans="1:2" x14ac:dyDescent="0.3">
      <c r="A8566" s="2">
        <v>46014.833333333343</v>
      </c>
      <c r="B8566">
        <f>4566.05384266012*(3/4)</f>
        <v>3424.5403819950898</v>
      </c>
    </row>
    <row r="8567" spans="1:2" x14ac:dyDescent="0.3">
      <c r="A8567" s="2">
        <v>46014.875</v>
      </c>
      <c r="B8567">
        <f>4459.99469255647*(3/4)</f>
        <v>3344.99601941735</v>
      </c>
    </row>
    <row r="8568" spans="1:2" x14ac:dyDescent="0.3">
      <c r="A8568" s="2">
        <v>46014.916666666657</v>
      </c>
      <c r="B8568">
        <f>4194.87146483303*(3/4)</f>
        <v>3146.1535986247754</v>
      </c>
    </row>
    <row r="8569" spans="1:2" x14ac:dyDescent="0.3">
      <c r="A8569" s="2">
        <v>46014.958333333343</v>
      </c>
      <c r="B8569">
        <f>4163.85594704535*(3/4)</f>
        <v>3122.8919602840133</v>
      </c>
    </row>
    <row r="8570" spans="1:2" x14ac:dyDescent="0.3">
      <c r="A8570" s="2">
        <v>46015</v>
      </c>
      <c r="B8570">
        <f>4246.27522585415*(3/4)</f>
        <v>3184.7064193906108</v>
      </c>
    </row>
    <row r="8571" spans="1:2" x14ac:dyDescent="0.3">
      <c r="A8571" s="2">
        <v>46015.041666666657</v>
      </c>
      <c r="B8571">
        <f>4170.51755230146*(3/4)</f>
        <v>3127.888164226094</v>
      </c>
    </row>
    <row r="8572" spans="1:2" x14ac:dyDescent="0.3">
      <c r="A8572" s="2">
        <v>46015.083333333343</v>
      </c>
      <c r="B8572">
        <f>4351.35849873591*(3/4)</f>
        <v>3263.5188740519311</v>
      </c>
    </row>
    <row r="8573" spans="1:2" x14ac:dyDescent="0.3">
      <c r="A8573" s="2">
        <v>46015.125</v>
      </c>
      <c r="B8573">
        <f>4094.09481680681*(3/4)</f>
        <v>3070.5711126051106</v>
      </c>
    </row>
    <row r="8574" spans="1:2" x14ac:dyDescent="0.3">
      <c r="A8574" s="2">
        <v>46015.166666666657</v>
      </c>
      <c r="B8574">
        <f>4455.22485398035*(3/4)</f>
        <v>3341.4186404852594</v>
      </c>
    </row>
    <row r="8575" spans="1:2" x14ac:dyDescent="0.3">
      <c r="A8575" s="2">
        <v>46015.208333333343</v>
      </c>
      <c r="B8575">
        <f>4125.49247113668*(3/4)</f>
        <v>3094.1193533525111</v>
      </c>
    </row>
    <row r="8576" spans="1:2" x14ac:dyDescent="0.3">
      <c r="A8576" s="2">
        <v>46015.25</v>
      </c>
      <c r="B8576">
        <f>3910.94527795767*(3/4)</f>
        <v>2933.2089584682494</v>
      </c>
    </row>
    <row r="8577" spans="1:2" x14ac:dyDescent="0.3">
      <c r="A8577" s="2">
        <v>46015.291666666657</v>
      </c>
      <c r="B8577">
        <f>4238.6471016696*(3/4)</f>
        <v>3178.985326252197</v>
      </c>
    </row>
    <row r="8578" spans="1:2" x14ac:dyDescent="0.3">
      <c r="A8578" s="2">
        <v>46015.333333333343</v>
      </c>
      <c r="B8578">
        <f>4611.91949610442*(3/4)</f>
        <v>3458.9396220783128</v>
      </c>
    </row>
    <row r="8579" spans="1:2" x14ac:dyDescent="0.3">
      <c r="A8579" s="2">
        <v>46015.375</v>
      </c>
      <c r="B8579">
        <f>4675.5525651454*(3/4)</f>
        <v>3506.6644238590516</v>
      </c>
    </row>
    <row r="8580" spans="1:2" x14ac:dyDescent="0.3">
      <c r="A8580" s="2">
        <v>46015.416666666657</v>
      </c>
      <c r="B8580">
        <f>4489.49912160363*(3/4)</f>
        <v>3367.1243412027188</v>
      </c>
    </row>
    <row r="8581" spans="1:2" x14ac:dyDescent="0.3">
      <c r="A8581" s="2">
        <v>46015.458333333343</v>
      </c>
      <c r="B8581">
        <f>4304.81727951961*(3/4)</f>
        <v>3228.61295963971</v>
      </c>
    </row>
    <row r="8582" spans="1:2" x14ac:dyDescent="0.3">
      <c r="A8582" s="2">
        <v>46015.5</v>
      </c>
      <c r="B8582">
        <f>4329.95610369685*(3/4)</f>
        <v>3247.4670777726369</v>
      </c>
    </row>
    <row r="8583" spans="1:2" x14ac:dyDescent="0.3">
      <c r="A8583" s="2">
        <v>46015.541666666657</v>
      </c>
      <c r="B8583">
        <f>4691.20718869809*(3/4)</f>
        <v>3518.4053915235677</v>
      </c>
    </row>
    <row r="8584" spans="1:2" x14ac:dyDescent="0.3">
      <c r="A8584" s="2">
        <v>46015.583333333343</v>
      </c>
      <c r="B8584">
        <f>4199.30423827681*(3/4)</f>
        <v>3149.4781787076063</v>
      </c>
    </row>
    <row r="8585" spans="1:2" x14ac:dyDescent="0.3">
      <c r="A8585" s="2">
        <v>46015.625</v>
      </c>
      <c r="B8585">
        <f>4301.04262426071*(3/4)</f>
        <v>3225.7819681955361</v>
      </c>
    </row>
    <row r="8586" spans="1:2" x14ac:dyDescent="0.3">
      <c r="A8586" s="2">
        <v>46015.666666666657</v>
      </c>
      <c r="B8586">
        <f>4461.90235834394*(3/4)</f>
        <v>3346.4267687579541</v>
      </c>
    </row>
    <row r="8587" spans="1:2" x14ac:dyDescent="0.3">
      <c r="A8587" s="2">
        <v>46015.708333333343</v>
      </c>
      <c r="B8587">
        <f>4553.99018968404*(3/4)</f>
        <v>3415.4926422630333</v>
      </c>
    </row>
    <row r="8588" spans="1:2" x14ac:dyDescent="0.3">
      <c r="A8588" s="2">
        <v>46015.75</v>
      </c>
      <c r="B8588">
        <f>4214.60112297477*(3/4)</f>
        <v>3160.9508422310801</v>
      </c>
    </row>
    <row r="8589" spans="1:2" x14ac:dyDescent="0.3">
      <c r="A8589" s="2">
        <v>46015.791666666657</v>
      </c>
      <c r="B8589">
        <f>4598.959103686*(3/4)</f>
        <v>3449.2193277644965</v>
      </c>
    </row>
    <row r="8590" spans="1:2" x14ac:dyDescent="0.3">
      <c r="A8590" s="2">
        <v>46015.833333333343</v>
      </c>
      <c r="B8590">
        <f>4524.53296066221*(3/4)</f>
        <v>3393.3997204966568</v>
      </c>
    </row>
    <row r="8591" spans="1:2" x14ac:dyDescent="0.3">
      <c r="A8591" s="2">
        <v>46015.875</v>
      </c>
      <c r="B8591">
        <f>4339.37871540325*(3/4)</f>
        <v>3254.5340365524353</v>
      </c>
    </row>
    <row r="8592" spans="1:2" x14ac:dyDescent="0.3">
      <c r="A8592" s="2">
        <v>46015.916666666657</v>
      </c>
      <c r="B8592">
        <f>4178.07413307725*(3/4)</f>
        <v>3133.5555998079367</v>
      </c>
    </row>
    <row r="8593" spans="1:2" x14ac:dyDescent="0.3">
      <c r="A8593" s="2">
        <v>46015.958333333343</v>
      </c>
      <c r="B8593">
        <f>4475.990567122*(3/4)</f>
        <v>3356.9929253414994</v>
      </c>
    </row>
    <row r="8594" spans="1:2" x14ac:dyDescent="0.3">
      <c r="A8594" s="2">
        <v>46016</v>
      </c>
      <c r="B8594">
        <f>4599.26404281649*(3/4)</f>
        <v>3449.4480321123683</v>
      </c>
    </row>
    <row r="8595" spans="1:2" x14ac:dyDescent="0.3">
      <c r="A8595" s="2">
        <v>46016.041666666657</v>
      </c>
      <c r="B8595">
        <f>4245.69571647295*(3/4)</f>
        <v>3184.2717873547108</v>
      </c>
    </row>
    <row r="8596" spans="1:2" x14ac:dyDescent="0.3">
      <c r="A8596" s="2">
        <v>46016.083333333343</v>
      </c>
      <c r="B8596">
        <f>4352.74087986826*(3/4)</f>
        <v>3264.5556599011961</v>
      </c>
    </row>
    <row r="8597" spans="1:2" x14ac:dyDescent="0.3">
      <c r="A8597" s="2">
        <v>46016.125</v>
      </c>
      <c r="B8597">
        <f>4515.84686643264*(3/4)</f>
        <v>3386.8851498244831</v>
      </c>
    </row>
    <row r="8598" spans="1:2" x14ac:dyDescent="0.3">
      <c r="A8598" s="2">
        <v>46016.166666666657</v>
      </c>
      <c r="B8598">
        <f>4240.48982326448*(3/4)</f>
        <v>3180.3673674483589</v>
      </c>
    </row>
    <row r="8599" spans="1:2" x14ac:dyDescent="0.3">
      <c r="A8599" s="2">
        <v>46016.208333333343</v>
      </c>
      <c r="B8599">
        <f>4257.1392507679*(3/4)</f>
        <v>3192.8544380759272</v>
      </c>
    </row>
    <row r="8600" spans="1:2" x14ac:dyDescent="0.3">
      <c r="A8600" s="2">
        <v>46016.25</v>
      </c>
      <c r="B8600">
        <f>4252.7380591332*(3/4)</f>
        <v>3189.5535443498966</v>
      </c>
    </row>
    <row r="8601" spans="1:2" x14ac:dyDescent="0.3">
      <c r="A8601" s="2">
        <v>46016.291666666657</v>
      </c>
      <c r="B8601">
        <f>4800*(3/4)</f>
        <v>3600</v>
      </c>
    </row>
    <row r="8602" spans="1:2" x14ac:dyDescent="0.3">
      <c r="A8602" s="2">
        <v>46016.333333333343</v>
      </c>
      <c r="B8602">
        <f>4673.13168596106*(3/4)</f>
        <v>3504.8487644707966</v>
      </c>
    </row>
    <row r="8603" spans="1:2" x14ac:dyDescent="0.3">
      <c r="A8603" s="2">
        <v>46016.375</v>
      </c>
      <c r="B8603">
        <f>4294.97875583399*(3/4)</f>
        <v>3221.234066875495</v>
      </c>
    </row>
    <row r="8604" spans="1:2" x14ac:dyDescent="0.3">
      <c r="A8604" s="2">
        <v>46016.416666666657</v>
      </c>
      <c r="B8604">
        <f>4380.63004045782*(3/4)</f>
        <v>3285.4725303433661</v>
      </c>
    </row>
    <row r="8605" spans="1:2" x14ac:dyDescent="0.3">
      <c r="A8605" s="2">
        <v>46016.458333333343</v>
      </c>
      <c r="B8605">
        <f>4434.56205867487*(3/4)</f>
        <v>3325.9215440061498</v>
      </c>
    </row>
    <row r="8606" spans="1:2" x14ac:dyDescent="0.3">
      <c r="A8606" s="2">
        <v>46016.5</v>
      </c>
      <c r="B8606">
        <f>4320.17810218411*(3/4)</f>
        <v>3240.1335766380798</v>
      </c>
    </row>
    <row r="8607" spans="1:2" x14ac:dyDescent="0.3">
      <c r="A8607" s="2">
        <v>46016.541666666657</v>
      </c>
      <c r="B8607">
        <f>4447.42342438489*(3/4)</f>
        <v>3335.5675682886649</v>
      </c>
    </row>
    <row r="8608" spans="1:2" x14ac:dyDescent="0.3">
      <c r="A8608" s="2">
        <v>46016.583333333343</v>
      </c>
      <c r="B8608">
        <f>4116.12510990342*(3/4)</f>
        <v>3087.0938324275685</v>
      </c>
    </row>
    <row r="8609" spans="1:2" x14ac:dyDescent="0.3">
      <c r="A8609" s="2">
        <v>46016.625</v>
      </c>
      <c r="B8609">
        <f>4231.2278634517*(3/4)</f>
        <v>3173.4208975887777</v>
      </c>
    </row>
    <row r="8610" spans="1:2" x14ac:dyDescent="0.3">
      <c r="A8610" s="2">
        <v>46016.666666666657</v>
      </c>
      <c r="B8610">
        <f>4059.56429121769*(3/4)</f>
        <v>3044.6732184132652</v>
      </c>
    </row>
    <row r="8611" spans="1:2" x14ac:dyDescent="0.3">
      <c r="A8611" s="2">
        <v>46016.708333333343</v>
      </c>
      <c r="B8611">
        <f>4511.25798596112*(3/4)</f>
        <v>3383.4434894708393</v>
      </c>
    </row>
    <row r="8612" spans="1:2" x14ac:dyDescent="0.3">
      <c r="A8612" s="2">
        <v>46016.75</v>
      </c>
      <c r="B8612">
        <f>4421.53347346659*(3/4)</f>
        <v>3316.1501050999427</v>
      </c>
    </row>
    <row r="8613" spans="1:2" x14ac:dyDescent="0.3">
      <c r="A8613" s="2">
        <v>46016.791666666657</v>
      </c>
      <c r="B8613">
        <f>4659.86149936404*(3/4)</f>
        <v>3494.8961245230321</v>
      </c>
    </row>
    <row r="8614" spans="1:2" x14ac:dyDescent="0.3">
      <c r="A8614" s="2">
        <v>46016.833333333343</v>
      </c>
      <c r="B8614">
        <f>4368.79771609718*(3/4)</f>
        <v>3276.5982870728858</v>
      </c>
    </row>
    <row r="8615" spans="1:2" x14ac:dyDescent="0.3">
      <c r="A8615" s="2">
        <v>46016.875</v>
      </c>
      <c r="B8615">
        <f>4626.28258718982*(3/4)</f>
        <v>3469.7119403923643</v>
      </c>
    </row>
    <row r="8616" spans="1:2" x14ac:dyDescent="0.3">
      <c r="A8616" s="2">
        <v>46016.916666666657</v>
      </c>
      <c r="B8616">
        <f>4079.50417080217*(3/4)</f>
        <v>3059.628128101629</v>
      </c>
    </row>
    <row r="8617" spans="1:2" x14ac:dyDescent="0.3">
      <c r="A8617" s="2">
        <v>46016.958333333343</v>
      </c>
      <c r="B8617">
        <f>4081.67466370408*(3/4)</f>
        <v>3061.2559977780593</v>
      </c>
    </row>
    <row r="8618" spans="1:2" x14ac:dyDescent="0.3">
      <c r="A8618" s="2">
        <v>46017</v>
      </c>
      <c r="B8618">
        <f>4384.32049474857*(3/4)</f>
        <v>3288.240371061429</v>
      </c>
    </row>
    <row r="8619" spans="1:2" x14ac:dyDescent="0.3">
      <c r="A8619" s="2">
        <v>46017.041666666657</v>
      </c>
      <c r="B8619">
        <f>4434.97993741606*(3/4)</f>
        <v>3326.2349530620468</v>
      </c>
    </row>
    <row r="8620" spans="1:2" x14ac:dyDescent="0.3">
      <c r="A8620" s="2">
        <v>46017.083333333343</v>
      </c>
      <c r="B8620">
        <f>4245.92398691478*(3/4)</f>
        <v>3184.442990186084</v>
      </c>
    </row>
    <row r="8621" spans="1:2" x14ac:dyDescent="0.3">
      <c r="A8621" s="2">
        <v>46017.125</v>
      </c>
      <c r="B8621">
        <f>4267.91595945731*(3/4)</f>
        <v>3200.9369695929813</v>
      </c>
    </row>
    <row r="8622" spans="1:2" x14ac:dyDescent="0.3">
      <c r="A8622" s="2">
        <v>46017.166666666657</v>
      </c>
      <c r="B8622">
        <f>4629.50836595799*(3/4)</f>
        <v>3472.1312744684919</v>
      </c>
    </row>
    <row r="8623" spans="1:2" x14ac:dyDescent="0.3">
      <c r="A8623" s="2">
        <v>46017.208333333343</v>
      </c>
      <c r="B8623">
        <f>3998.76940689716*(3/4)</f>
        <v>2999.0770551728674</v>
      </c>
    </row>
    <row r="8624" spans="1:2" x14ac:dyDescent="0.3">
      <c r="A8624" s="2">
        <v>46017.25</v>
      </c>
      <c r="B8624">
        <f>4246.42832226448*(3/4)</f>
        <v>3184.8212416983579</v>
      </c>
    </row>
    <row r="8625" spans="1:2" x14ac:dyDescent="0.3">
      <c r="A8625" s="2">
        <v>46017.291666666657</v>
      </c>
      <c r="B8625">
        <f>4673.54046160974*(3/4)</f>
        <v>3505.155346207307</v>
      </c>
    </row>
    <row r="8626" spans="1:2" x14ac:dyDescent="0.3">
      <c r="A8626" s="2">
        <v>46017.333333333343</v>
      </c>
      <c r="B8626">
        <f>4339.93405905345*(3/4)</f>
        <v>3254.9505442900904</v>
      </c>
    </row>
    <row r="8627" spans="1:2" x14ac:dyDescent="0.3">
      <c r="A8627" s="2">
        <v>46017.375</v>
      </c>
      <c r="B8627">
        <f>4677.00849455923*(3/4)</f>
        <v>3507.7563709194251</v>
      </c>
    </row>
    <row r="8628" spans="1:2" x14ac:dyDescent="0.3">
      <c r="A8628" s="2">
        <v>46017.416666666657</v>
      </c>
      <c r="B8628">
        <f>4630.5372180254*(3/4)</f>
        <v>3472.9029135190499</v>
      </c>
    </row>
    <row r="8629" spans="1:2" x14ac:dyDescent="0.3">
      <c r="A8629" s="2">
        <v>46017.458333333343</v>
      </c>
      <c r="B8629">
        <f>4320.01098902847*(3/4)</f>
        <v>3240.0082417713534</v>
      </c>
    </row>
    <row r="8630" spans="1:2" x14ac:dyDescent="0.3">
      <c r="A8630" s="2">
        <v>46017.5</v>
      </c>
      <c r="B8630">
        <f>4476.52876917222*(3/4)</f>
        <v>3357.396576879165</v>
      </c>
    </row>
    <row r="8631" spans="1:2" x14ac:dyDescent="0.3">
      <c r="A8631" s="2">
        <v>46017.541666666657</v>
      </c>
      <c r="B8631">
        <f>4368.97187284521*(3/4)</f>
        <v>3276.7289046339074</v>
      </c>
    </row>
    <row r="8632" spans="1:2" x14ac:dyDescent="0.3">
      <c r="A8632" s="2">
        <v>46017.583333333343</v>
      </c>
      <c r="B8632">
        <f>4075.66364777235*(3/4)</f>
        <v>3056.7477358292613</v>
      </c>
    </row>
    <row r="8633" spans="1:2" x14ac:dyDescent="0.3">
      <c r="A8633" s="2">
        <v>46017.625</v>
      </c>
      <c r="B8633">
        <f>4576.03485309503*(3/4)</f>
        <v>3432.0261398212751</v>
      </c>
    </row>
    <row r="8634" spans="1:2" x14ac:dyDescent="0.3">
      <c r="A8634" s="2">
        <v>46017.666666666657</v>
      </c>
      <c r="B8634">
        <f>4540.5448484954*(3/4)</f>
        <v>3405.408636371551</v>
      </c>
    </row>
    <row r="8635" spans="1:2" x14ac:dyDescent="0.3">
      <c r="A8635" s="2">
        <v>46017.708333333343</v>
      </c>
      <c r="B8635">
        <f>4276.72832198172*(3/4)</f>
        <v>3207.5462414862868</v>
      </c>
    </row>
    <row r="8636" spans="1:2" x14ac:dyDescent="0.3">
      <c r="A8636" s="2">
        <v>46017.75</v>
      </c>
      <c r="B8636">
        <f>4471.5584600107*(3/4)</f>
        <v>3353.6688450080237</v>
      </c>
    </row>
    <row r="8637" spans="1:2" x14ac:dyDescent="0.3">
      <c r="A8637" s="2">
        <v>46017.791666666657</v>
      </c>
      <c r="B8637">
        <f>4606.88299435287*(3/4)</f>
        <v>3455.1622457646499</v>
      </c>
    </row>
    <row r="8638" spans="1:2" x14ac:dyDescent="0.3">
      <c r="A8638" s="2">
        <v>46017.833333333343</v>
      </c>
      <c r="B8638">
        <f>4370.48351830642*(3/4)</f>
        <v>3277.8626387298154</v>
      </c>
    </row>
    <row r="8639" spans="1:2" x14ac:dyDescent="0.3">
      <c r="A8639" s="2">
        <v>46017.875</v>
      </c>
      <c r="B8639">
        <f>4557.78777906341*(3/4)</f>
        <v>3418.3408342975545</v>
      </c>
    </row>
    <row r="8640" spans="1:2" x14ac:dyDescent="0.3">
      <c r="A8640" s="2">
        <v>46017.916666666657</v>
      </c>
      <c r="B8640">
        <f>4239.23802154662*(3/4)</f>
        <v>3179.4285161599655</v>
      </c>
    </row>
    <row r="8641" spans="1:2" x14ac:dyDescent="0.3">
      <c r="A8641" s="2">
        <v>46017.958333333343</v>
      </c>
      <c r="B8641">
        <f>4166.71558970571*(3/4)</f>
        <v>3125.0366922792828</v>
      </c>
    </row>
    <row r="8642" spans="1:2" x14ac:dyDescent="0.3">
      <c r="A8642" s="2">
        <v>46018</v>
      </c>
      <c r="B8642">
        <f>4462.39657616997*(3/4)</f>
        <v>3346.7974321274783</v>
      </c>
    </row>
    <row r="8643" spans="1:2" x14ac:dyDescent="0.3">
      <c r="A8643" s="2">
        <v>46018.041666666657</v>
      </c>
      <c r="B8643">
        <f>4282.22076909423*(3/4)</f>
        <v>3211.6655768206742</v>
      </c>
    </row>
    <row r="8644" spans="1:2" x14ac:dyDescent="0.3">
      <c r="A8644" s="2">
        <v>46018.083333333343</v>
      </c>
      <c r="B8644">
        <f>4106.52880289246*(3/4)</f>
        <v>3079.8966021693441</v>
      </c>
    </row>
    <row r="8645" spans="1:2" x14ac:dyDescent="0.3">
      <c r="A8645" s="2">
        <v>46018.125</v>
      </c>
      <c r="B8645">
        <f>4162.36328724536*(3/4)</f>
        <v>3121.7724654340227</v>
      </c>
    </row>
    <row r="8646" spans="1:2" x14ac:dyDescent="0.3">
      <c r="A8646" s="2">
        <v>46018.166666666657</v>
      </c>
      <c r="B8646">
        <f>4736.8528476483*(3/4)</f>
        <v>3552.6396357362214</v>
      </c>
    </row>
    <row r="8647" spans="1:2" x14ac:dyDescent="0.3">
      <c r="A8647" s="2">
        <v>46018.208333333343</v>
      </c>
      <c r="B8647">
        <f>4242.00638187197*(3/4)</f>
        <v>3181.5047864039748</v>
      </c>
    </row>
    <row r="8648" spans="1:2" x14ac:dyDescent="0.3">
      <c r="A8648" s="2">
        <v>46018.25</v>
      </c>
      <c r="B8648">
        <f>4005.16990436228*(3/4)</f>
        <v>3003.87742827171</v>
      </c>
    </row>
    <row r="8649" spans="1:2" x14ac:dyDescent="0.3">
      <c r="A8649" s="2">
        <v>46018.291666666657</v>
      </c>
      <c r="B8649">
        <f>4469.19619884899*(3/4)</f>
        <v>3351.8971491367392</v>
      </c>
    </row>
    <row r="8650" spans="1:2" x14ac:dyDescent="0.3">
      <c r="A8650" s="2">
        <v>46018.333333333343</v>
      </c>
      <c r="B8650">
        <f>4798.64639830666*(3/4)</f>
        <v>3598.9847987299945</v>
      </c>
    </row>
    <row r="8651" spans="1:2" x14ac:dyDescent="0.3">
      <c r="A8651" s="2">
        <v>46018.375</v>
      </c>
      <c r="B8651">
        <f>4623.0046455428*(3/4)</f>
        <v>3467.2534841571</v>
      </c>
    </row>
    <row r="8652" spans="1:2" x14ac:dyDescent="0.3">
      <c r="A8652" s="2">
        <v>46018.416666666657</v>
      </c>
      <c r="B8652">
        <f>4320.27903439319*(3/4)</f>
        <v>3240.2092757948926</v>
      </c>
    </row>
    <row r="8653" spans="1:2" x14ac:dyDescent="0.3">
      <c r="A8653" s="2">
        <v>46018.458333333343</v>
      </c>
      <c r="B8653">
        <f>4485.49546646136*(3/4)</f>
        <v>3364.1215998460193</v>
      </c>
    </row>
    <row r="8654" spans="1:2" x14ac:dyDescent="0.3">
      <c r="A8654" s="2">
        <v>46018.5</v>
      </c>
      <c r="B8654">
        <f>4347.60220874991*(3/4)</f>
        <v>3260.7016565624322</v>
      </c>
    </row>
    <row r="8655" spans="1:2" x14ac:dyDescent="0.3">
      <c r="A8655" s="2">
        <v>46018.541666666657</v>
      </c>
      <c r="B8655">
        <f>4440.91381666382*(3/4)</f>
        <v>3330.685362497863</v>
      </c>
    </row>
    <row r="8656" spans="1:2" x14ac:dyDescent="0.3">
      <c r="A8656" s="2">
        <v>46018.583333333343</v>
      </c>
      <c r="B8656">
        <f>4101.96653828747*(3/4)</f>
        <v>3076.4749037156062</v>
      </c>
    </row>
    <row r="8657" spans="1:2" x14ac:dyDescent="0.3">
      <c r="A8657" s="2">
        <v>46018.625</v>
      </c>
      <c r="B8657">
        <f>4393.89244657769*(3/4)</f>
        <v>3295.4193349332695</v>
      </c>
    </row>
    <row r="8658" spans="1:2" x14ac:dyDescent="0.3">
      <c r="A8658" s="2">
        <v>46018.666666666657</v>
      </c>
      <c r="B8658">
        <f>4082.00332746262*(3/4)</f>
        <v>3061.5024955969629</v>
      </c>
    </row>
    <row r="8659" spans="1:2" x14ac:dyDescent="0.3">
      <c r="A8659" s="2">
        <v>46018.708333333343</v>
      </c>
      <c r="B8659">
        <f>4476.65215219064*(3/4)</f>
        <v>3357.4891141429835</v>
      </c>
    </row>
    <row r="8660" spans="1:2" x14ac:dyDescent="0.3">
      <c r="A8660" s="2">
        <v>46018.75</v>
      </c>
      <c r="B8660">
        <f>4354.13614528642*(3/4)</f>
        <v>3265.6021089648152</v>
      </c>
    </row>
    <row r="8661" spans="1:2" x14ac:dyDescent="0.3">
      <c r="A8661" s="2">
        <v>46018.791666666657</v>
      </c>
      <c r="B8661">
        <f>4292.12147073658*(3/4)</f>
        <v>3219.0911030524362</v>
      </c>
    </row>
    <row r="8662" spans="1:2" x14ac:dyDescent="0.3">
      <c r="A8662" s="2">
        <v>46018.833333333343</v>
      </c>
      <c r="B8662">
        <f>4740.30941835735*(3/4)</f>
        <v>3555.2320637680141</v>
      </c>
    </row>
    <row r="8663" spans="1:2" x14ac:dyDescent="0.3">
      <c r="A8663" s="2">
        <v>46018.875</v>
      </c>
      <c r="B8663">
        <f>4416.39555344714*(3/4)</f>
        <v>3312.2966650853582</v>
      </c>
    </row>
    <row r="8664" spans="1:2" x14ac:dyDescent="0.3">
      <c r="A8664" s="2">
        <v>46018.916666666657</v>
      </c>
      <c r="B8664">
        <f>3984.8040762636*(3/4)</f>
        <v>2988.6030571977008</v>
      </c>
    </row>
    <row r="8665" spans="1:2" x14ac:dyDescent="0.3">
      <c r="A8665" s="2">
        <v>46018.958333333343</v>
      </c>
      <c r="B8665">
        <f>4223.7355226581*(3/4)</f>
        <v>3167.801641993573</v>
      </c>
    </row>
    <row r="8666" spans="1:2" x14ac:dyDescent="0.3">
      <c r="A8666" s="2">
        <v>46019</v>
      </c>
      <c r="B8666">
        <f>4402.41195153176*(3/4)</f>
        <v>3301.808963648823</v>
      </c>
    </row>
    <row r="8667" spans="1:2" x14ac:dyDescent="0.3">
      <c r="A8667" s="2">
        <v>46019.041666666657</v>
      </c>
      <c r="B8667">
        <f>4338.07520804488*(3/4)</f>
        <v>3253.5564060336637</v>
      </c>
    </row>
    <row r="8668" spans="1:2" x14ac:dyDescent="0.3">
      <c r="A8668" s="2">
        <v>46019.083333333343</v>
      </c>
      <c r="B8668">
        <f>4274.26258431909*(3/4)</f>
        <v>3205.6969382393168</v>
      </c>
    </row>
    <row r="8669" spans="1:2" x14ac:dyDescent="0.3">
      <c r="A8669" s="2">
        <v>46019.125</v>
      </c>
      <c r="B8669">
        <f>4027.56475365885*(3/4)</f>
        <v>3020.6735652441394</v>
      </c>
    </row>
    <row r="8670" spans="1:2" x14ac:dyDescent="0.3">
      <c r="A8670" s="2">
        <v>46019.166666666657</v>
      </c>
      <c r="B8670">
        <f>4594.13467301121*(3/4)</f>
        <v>3445.6010047584059</v>
      </c>
    </row>
    <row r="8671" spans="1:2" x14ac:dyDescent="0.3">
      <c r="A8671" s="2">
        <v>46019.208333333343</v>
      </c>
      <c r="B8671">
        <f>4486.51268004427*(3/4)</f>
        <v>3364.8845100332028</v>
      </c>
    </row>
    <row r="8672" spans="1:2" x14ac:dyDescent="0.3">
      <c r="A8672" s="2">
        <v>46019.25</v>
      </c>
      <c r="B8672">
        <f>4236.42070801785*(3/4)</f>
        <v>3177.3155310133907</v>
      </c>
    </row>
    <row r="8673" spans="1:2" x14ac:dyDescent="0.3">
      <c r="A8673" s="2">
        <v>46019.291666666657</v>
      </c>
      <c r="B8673">
        <f>4553.77347594778*(3/4)</f>
        <v>3415.3301069608333</v>
      </c>
    </row>
    <row r="8674" spans="1:2" x14ac:dyDescent="0.3">
      <c r="A8674" s="2">
        <v>46019.333333333343</v>
      </c>
      <c r="B8674">
        <f>3555.71926400135*(3/4)</f>
        <v>2666.7894480010154</v>
      </c>
    </row>
    <row r="8675" spans="1:2" x14ac:dyDescent="0.3">
      <c r="A8675" s="2">
        <v>46019.375</v>
      </c>
      <c r="B8675">
        <f>3784.52259470316*(3/4)</f>
        <v>2838.3919460273719</v>
      </c>
    </row>
    <row r="8676" spans="1:2" x14ac:dyDescent="0.3">
      <c r="A8676" s="2">
        <v>46019.416666666657</v>
      </c>
      <c r="B8676">
        <f>3517.89705412447*(3/4)</f>
        <v>2638.4227905933521</v>
      </c>
    </row>
    <row r="8677" spans="1:2" x14ac:dyDescent="0.3">
      <c r="A8677" s="2">
        <v>46019.458333333343</v>
      </c>
      <c r="B8677">
        <f>3909.08094613271*(3/4)</f>
        <v>2931.8107095995347</v>
      </c>
    </row>
    <row r="8678" spans="1:2" x14ac:dyDescent="0.3">
      <c r="A8678" s="2">
        <v>46019.5</v>
      </c>
      <c r="B8678">
        <f>3578.38853007223*(3/4)</f>
        <v>2683.7913975541724</v>
      </c>
    </row>
    <row r="8679" spans="1:2" x14ac:dyDescent="0.3">
      <c r="A8679" s="2">
        <v>46019.541666666657</v>
      </c>
      <c r="B8679">
        <f>3820.97752725314*(3/4)</f>
        <v>2865.7331454398559</v>
      </c>
    </row>
    <row r="8680" spans="1:2" x14ac:dyDescent="0.3">
      <c r="A8680" s="2">
        <v>46019.583333333343</v>
      </c>
      <c r="B8680">
        <f>3069.16584140373*(3/4)</f>
        <v>2301.8743810528003</v>
      </c>
    </row>
    <row r="8681" spans="1:2" x14ac:dyDescent="0.3">
      <c r="A8681" s="2">
        <v>46019.625</v>
      </c>
      <c r="B8681">
        <f>3385.61193799612*(3/4)</f>
        <v>2539.2089534970864</v>
      </c>
    </row>
    <row r="8682" spans="1:2" x14ac:dyDescent="0.3">
      <c r="A8682" s="2">
        <v>46019.666666666657</v>
      </c>
      <c r="B8682">
        <f>3439.57508904475*(3/4)</f>
        <v>2579.6813167835599</v>
      </c>
    </row>
    <row r="8683" spans="1:2" x14ac:dyDescent="0.3">
      <c r="A8683" s="2">
        <v>46019.708333333343</v>
      </c>
      <c r="B8683">
        <f>4434.15169906854*(3/4)</f>
        <v>3325.6137743014042</v>
      </c>
    </row>
    <row r="8684" spans="1:2" x14ac:dyDescent="0.3">
      <c r="A8684" s="2">
        <v>46019.75</v>
      </c>
      <c r="B8684">
        <f>4551.41758981105*(3/4)</f>
        <v>3413.5631923582887</v>
      </c>
    </row>
    <row r="8685" spans="1:2" x14ac:dyDescent="0.3">
      <c r="A8685" s="2">
        <v>46019.791666666657</v>
      </c>
      <c r="B8685">
        <f>4168.57965099002*(3/4)</f>
        <v>3126.4347382425185</v>
      </c>
    </row>
    <row r="8686" spans="1:2" x14ac:dyDescent="0.3">
      <c r="A8686" s="2">
        <v>46019.833333333343</v>
      </c>
      <c r="B8686">
        <f>4378.82710568136*(3/4)</f>
        <v>3284.1203292610189</v>
      </c>
    </row>
    <row r="8687" spans="1:2" x14ac:dyDescent="0.3">
      <c r="A8687" s="2">
        <v>46019.875</v>
      </c>
      <c r="B8687">
        <f>4780.12005731043*(3/4)</f>
        <v>3585.0900429828203</v>
      </c>
    </row>
    <row r="8688" spans="1:2" x14ac:dyDescent="0.3">
      <c r="A8688" s="2">
        <v>46019.916666666657</v>
      </c>
      <c r="B8688">
        <f>4099.19793923905*(3/4)</f>
        <v>3074.3984544292912</v>
      </c>
    </row>
    <row r="8689" spans="1:2" x14ac:dyDescent="0.3">
      <c r="A8689" s="2">
        <v>46019.958333333343</v>
      </c>
      <c r="B8689">
        <f>4461.66655457822*(3/4)</f>
        <v>3346.2499159336612</v>
      </c>
    </row>
    <row r="8690" spans="1:2" x14ac:dyDescent="0.3">
      <c r="A8690" s="2">
        <v>46020</v>
      </c>
      <c r="B8690">
        <f>4404.21342137855*(3/4)</f>
        <v>3303.1600660339163</v>
      </c>
    </row>
    <row r="8691" spans="1:2" x14ac:dyDescent="0.3">
      <c r="A8691" s="2">
        <v>46020.041666666657</v>
      </c>
      <c r="B8691">
        <f>4346.97490666435*(3/4)</f>
        <v>3260.2311799982658</v>
      </c>
    </row>
    <row r="8692" spans="1:2" x14ac:dyDescent="0.3">
      <c r="A8692" s="2">
        <v>46020.083333333343</v>
      </c>
      <c r="B8692">
        <f>4152.15823354657*(3/4)</f>
        <v>3114.1186751599298</v>
      </c>
    </row>
    <row r="8693" spans="1:2" x14ac:dyDescent="0.3">
      <c r="A8693" s="2">
        <v>46020.125</v>
      </c>
      <c r="B8693">
        <f>4130.38368599758*(3/4)</f>
        <v>3097.7877644981836</v>
      </c>
    </row>
    <row r="8694" spans="1:2" x14ac:dyDescent="0.3">
      <c r="A8694" s="2">
        <v>46020.166666666657</v>
      </c>
      <c r="B8694">
        <f>4376.71053975299*(3/4)</f>
        <v>3282.5329048147451</v>
      </c>
    </row>
    <row r="8695" spans="1:2" x14ac:dyDescent="0.3">
      <c r="A8695" s="2">
        <v>46020.208333333343</v>
      </c>
      <c r="B8695">
        <f>4187.78749055224*(3/4)</f>
        <v>3140.8406179141784</v>
      </c>
    </row>
    <row r="8696" spans="1:2" x14ac:dyDescent="0.3">
      <c r="A8696" s="2">
        <v>46020.25</v>
      </c>
      <c r="B8696">
        <f>4201.26225919333*(3/4)</f>
        <v>3150.9466943949983</v>
      </c>
    </row>
    <row r="8697" spans="1:2" x14ac:dyDescent="0.3">
      <c r="A8697" s="2">
        <v>46020.291666666657</v>
      </c>
      <c r="B8697">
        <f>4455.56933955441*(3/4)</f>
        <v>3341.6770046658071</v>
      </c>
    </row>
    <row r="8698" spans="1:2" x14ac:dyDescent="0.3">
      <c r="A8698" s="2">
        <v>46020.333333333343</v>
      </c>
      <c r="B8698">
        <f>4134.03523918992*(3/4)</f>
        <v>3100.526429392442</v>
      </c>
    </row>
    <row r="8699" spans="1:2" x14ac:dyDescent="0.3">
      <c r="A8699" s="2">
        <v>46020.375</v>
      </c>
      <c r="B8699">
        <f>4357.62326777018*(3/4)</f>
        <v>3268.2174508276366</v>
      </c>
    </row>
    <row r="8700" spans="1:2" x14ac:dyDescent="0.3">
      <c r="A8700" s="2">
        <v>46020.416666666657</v>
      </c>
      <c r="B8700">
        <f>4272.07269218142*(3/4)</f>
        <v>3204.0545191360634</v>
      </c>
    </row>
    <row r="8701" spans="1:2" x14ac:dyDescent="0.3">
      <c r="A8701" s="2">
        <v>46020.458333333343</v>
      </c>
      <c r="B8701">
        <f>4312.05862699299*(3/4)</f>
        <v>3234.0439702447393</v>
      </c>
    </row>
    <row r="8702" spans="1:2" x14ac:dyDescent="0.3">
      <c r="A8702" s="2">
        <v>46020.5</v>
      </c>
      <c r="B8702">
        <f>4649.95274370563*(3/4)</f>
        <v>3487.4645577792226</v>
      </c>
    </row>
    <row r="8703" spans="1:2" x14ac:dyDescent="0.3">
      <c r="A8703" s="2">
        <v>46020.541666666657</v>
      </c>
      <c r="B8703">
        <f>4688.44315327076*(3/4)</f>
        <v>3516.3323649530689</v>
      </c>
    </row>
    <row r="8704" spans="1:2" x14ac:dyDescent="0.3">
      <c r="A8704" s="2">
        <v>46020.583333333343</v>
      </c>
      <c r="B8704">
        <f>4270.57723040275*(3/4)</f>
        <v>3202.9329228020601</v>
      </c>
    </row>
    <row r="8705" spans="1:2" x14ac:dyDescent="0.3">
      <c r="A8705" s="2">
        <v>46020.625</v>
      </c>
      <c r="B8705">
        <f>4198.22110102855*(3/4)</f>
        <v>3148.6658257714139</v>
      </c>
    </row>
    <row r="8706" spans="1:2" x14ac:dyDescent="0.3">
      <c r="A8706" s="2">
        <v>46020.666666666657</v>
      </c>
      <c r="B8706">
        <f>4228.57227862373*(3/4)</f>
        <v>3171.4292089677942</v>
      </c>
    </row>
    <row r="8707" spans="1:2" x14ac:dyDescent="0.3">
      <c r="A8707" s="2">
        <v>46020.708333333343</v>
      </c>
      <c r="B8707">
        <f>4489.60114663098*(3/4)</f>
        <v>3367.2008599732335</v>
      </c>
    </row>
    <row r="8708" spans="1:2" x14ac:dyDescent="0.3">
      <c r="A8708" s="2">
        <v>46020.75</v>
      </c>
      <c r="B8708">
        <f>4409.7413252891*(3/4)</f>
        <v>3307.3059939668219</v>
      </c>
    </row>
    <row r="8709" spans="1:2" x14ac:dyDescent="0.3">
      <c r="A8709" s="2">
        <v>46020.791666666657</v>
      </c>
      <c r="B8709">
        <f>4517.45509099904*(3/4)</f>
        <v>3388.0913182492777</v>
      </c>
    </row>
    <row r="8710" spans="1:2" x14ac:dyDescent="0.3">
      <c r="A8710" s="2">
        <v>46020.833333333343</v>
      </c>
      <c r="B8710">
        <f>4590.26566054929*(3/4)</f>
        <v>3442.6992454119672</v>
      </c>
    </row>
    <row r="8711" spans="1:2" x14ac:dyDescent="0.3">
      <c r="A8711" s="2">
        <v>46020.875</v>
      </c>
      <c r="B8711">
        <f>4545.79404868345*(3/4)</f>
        <v>3409.3455365125851</v>
      </c>
    </row>
    <row r="8712" spans="1:2" x14ac:dyDescent="0.3">
      <c r="A8712" s="2">
        <v>46020.916666666657</v>
      </c>
      <c r="B8712">
        <f>4211.48088469849*(3/4)</f>
        <v>3158.6106635238652</v>
      </c>
    </row>
    <row r="8713" spans="1:2" x14ac:dyDescent="0.3">
      <c r="A8713" s="2">
        <v>46020.958333333343</v>
      </c>
      <c r="B8713">
        <f>4301.30382729581*(3/4)</f>
        <v>3225.9778704718574</v>
      </c>
    </row>
    <row r="8714" spans="1:2" x14ac:dyDescent="0.3">
      <c r="A8714" s="2">
        <v>46021</v>
      </c>
      <c r="B8714">
        <f>4542.4516309926*(3/4)</f>
        <v>3406.838723244452</v>
      </c>
    </row>
    <row r="8715" spans="1:2" x14ac:dyDescent="0.3">
      <c r="A8715" s="2">
        <v>46021.041666666657</v>
      </c>
      <c r="B8715">
        <f>4350.2674067623*(3/4)</f>
        <v>3262.7005550717276</v>
      </c>
    </row>
    <row r="8716" spans="1:2" x14ac:dyDescent="0.3">
      <c r="A8716" s="2">
        <v>46021.083333333343</v>
      </c>
      <c r="B8716">
        <f>4331.70065853569*(3/4)</f>
        <v>3248.7754939017659</v>
      </c>
    </row>
    <row r="8717" spans="1:2" x14ac:dyDescent="0.3">
      <c r="A8717" s="2">
        <v>46021.125</v>
      </c>
      <c r="B8717">
        <f>4332.08190798563*(3/4)</f>
        <v>3249.0614309892189</v>
      </c>
    </row>
    <row r="8718" spans="1:2" x14ac:dyDescent="0.3">
      <c r="A8718" s="2">
        <v>46021.166666666657</v>
      </c>
      <c r="B8718">
        <f>4336.66650228926*(3/4)</f>
        <v>3252.4998767169432</v>
      </c>
    </row>
    <row r="8719" spans="1:2" x14ac:dyDescent="0.3">
      <c r="A8719" s="2">
        <v>46021.208333333343</v>
      </c>
      <c r="B8719">
        <f>4428.9503524376*(3/4)</f>
        <v>3321.7127643282024</v>
      </c>
    </row>
    <row r="8720" spans="1:2" x14ac:dyDescent="0.3">
      <c r="A8720" s="2">
        <v>46021.25</v>
      </c>
      <c r="B8720">
        <f>3892.79125208016*(3/4)</f>
        <v>2919.5934390601178</v>
      </c>
    </row>
    <row r="8721" spans="1:2" x14ac:dyDescent="0.3">
      <c r="A8721" s="2">
        <v>46021.291666666657</v>
      </c>
      <c r="B8721">
        <f>4190.44399506939*(3/4)</f>
        <v>3142.8329963020401</v>
      </c>
    </row>
    <row r="8722" spans="1:2" x14ac:dyDescent="0.3">
      <c r="A8722" s="2">
        <v>46021.333333333343</v>
      </c>
      <c r="B8722">
        <f>4800*(3/4)</f>
        <v>3600</v>
      </c>
    </row>
    <row r="8723" spans="1:2" x14ac:dyDescent="0.3">
      <c r="A8723" s="2">
        <v>46021.375</v>
      </c>
      <c r="B8723">
        <f>4246.80735775814*(3/4)</f>
        <v>3185.1055183186063</v>
      </c>
    </row>
    <row r="8724" spans="1:2" x14ac:dyDescent="0.3">
      <c r="A8724" s="2">
        <v>46021.416666666657</v>
      </c>
      <c r="B8724">
        <f>4264.69216800264*(3/4)</f>
        <v>3198.5191260019819</v>
      </c>
    </row>
    <row r="8725" spans="1:2" x14ac:dyDescent="0.3">
      <c r="A8725" s="2">
        <v>46021.458333333343</v>
      </c>
      <c r="B8725">
        <f>4302.40374740399*(3/4)</f>
        <v>3226.8028105529893</v>
      </c>
    </row>
    <row r="8726" spans="1:2" x14ac:dyDescent="0.3">
      <c r="A8726" s="2">
        <v>46021.5</v>
      </c>
      <c r="B8726">
        <f>4800*(3/4)</f>
        <v>3600</v>
      </c>
    </row>
    <row r="8727" spans="1:2" x14ac:dyDescent="0.3">
      <c r="A8727" s="2">
        <v>46021.541666666657</v>
      </c>
      <c r="B8727">
        <f>4472.04213300379*(3/4)</f>
        <v>3354.0315997528414</v>
      </c>
    </row>
    <row r="8728" spans="1:2" x14ac:dyDescent="0.3">
      <c r="A8728" s="2">
        <v>46021.583333333343</v>
      </c>
      <c r="B8728">
        <f>4349.39958185837*(3/4)</f>
        <v>3262.0496863937742</v>
      </c>
    </row>
    <row r="8729" spans="1:2" x14ac:dyDescent="0.3">
      <c r="A8729" s="2">
        <v>46021.625</v>
      </c>
      <c r="B8729">
        <f>4272.57432391133*(3/4)</f>
        <v>3204.430742933494</v>
      </c>
    </row>
    <row r="8730" spans="1:2" x14ac:dyDescent="0.3">
      <c r="A8730" s="2">
        <v>46021.666666666657</v>
      </c>
      <c r="B8730">
        <f>4800*(3/4)</f>
        <v>3600</v>
      </c>
    </row>
    <row r="8731" spans="1:2" x14ac:dyDescent="0.3">
      <c r="A8731" s="2">
        <v>46021.708333333343</v>
      </c>
      <c r="B8731">
        <f>4294.7214327027*(3/4)</f>
        <v>3221.0410745270237</v>
      </c>
    </row>
    <row r="8732" spans="1:2" x14ac:dyDescent="0.3">
      <c r="A8732" s="2">
        <v>46021.75</v>
      </c>
      <c r="B8732">
        <f>4338.39895176916*(3/4)</f>
        <v>3253.7992138268701</v>
      </c>
    </row>
    <row r="8733" spans="1:2" x14ac:dyDescent="0.3">
      <c r="A8733" s="2">
        <v>46021.791666666657</v>
      </c>
      <c r="B8733">
        <f>4484.26462153969*(3/4)</f>
        <v>3363.1984661547685</v>
      </c>
    </row>
    <row r="8734" spans="1:2" x14ac:dyDescent="0.3">
      <c r="A8734" s="2">
        <v>46021.833333333343</v>
      </c>
      <c r="B8734">
        <f>4533.45272403816*(3/4)</f>
        <v>3400.0895430286168</v>
      </c>
    </row>
    <row r="8735" spans="1:2" x14ac:dyDescent="0.3">
      <c r="A8735" s="2">
        <v>46021.875</v>
      </c>
      <c r="B8735">
        <f>4260.53588668572*(3/4)</f>
        <v>3195.4019150142917</v>
      </c>
    </row>
    <row r="8736" spans="1:2" x14ac:dyDescent="0.3">
      <c r="A8736" s="2">
        <v>46021.916666666657</v>
      </c>
      <c r="B8736">
        <f>4291.56605161588*(3/4)</f>
        <v>3218.6745387119131</v>
      </c>
    </row>
    <row r="8737" spans="1:2" x14ac:dyDescent="0.3">
      <c r="A8737" s="2">
        <v>46021.958333333343</v>
      </c>
      <c r="B8737">
        <f>4282.06953091552*(3/4)</f>
        <v>3211.5521481866408</v>
      </c>
    </row>
    <row r="8738" spans="1:2" x14ac:dyDescent="0.3">
      <c r="A8738" s="2">
        <v>46022</v>
      </c>
      <c r="B8738">
        <f>4309.56098510412*(3/4)</f>
        <v>3232.1707388280929</v>
      </c>
    </row>
    <row r="8739" spans="1:2" x14ac:dyDescent="0.3">
      <c r="A8739" s="2">
        <v>46022.041666666657</v>
      </c>
      <c r="B8739">
        <f>4483.9604927609*(3/4)</f>
        <v>3362.9703695706776</v>
      </c>
    </row>
    <row r="8740" spans="1:2" x14ac:dyDescent="0.3">
      <c r="A8740" s="2">
        <v>46022.083333333343</v>
      </c>
      <c r="B8740">
        <f>4262.41577857516*(3/4)</f>
        <v>3196.8118339313733</v>
      </c>
    </row>
    <row r="8741" spans="1:2" x14ac:dyDescent="0.3">
      <c r="A8741" s="2">
        <v>46022.125</v>
      </c>
      <c r="B8741">
        <f>4381.21393767962*(3/4)</f>
        <v>3285.9104532597166</v>
      </c>
    </row>
    <row r="8742" spans="1:2" x14ac:dyDescent="0.3">
      <c r="A8742" s="2">
        <v>46022.166666666657</v>
      </c>
      <c r="B8742">
        <f>4476.44932601788*(3/4)</f>
        <v>3357.3369945134104</v>
      </c>
    </row>
    <row r="8743" spans="1:2" x14ac:dyDescent="0.3">
      <c r="A8743" s="2">
        <v>46022.208333333343</v>
      </c>
      <c r="B8743">
        <f>4076.26109552206*(3/4)</f>
        <v>3057.1958216415474</v>
      </c>
    </row>
    <row r="8744" spans="1:2" x14ac:dyDescent="0.3">
      <c r="A8744" s="2">
        <v>46022.25</v>
      </c>
      <c r="B8744">
        <f>4155.24630088127*(3/4)</f>
        <v>3116.4347256609517</v>
      </c>
    </row>
    <row r="8745" spans="1:2" x14ac:dyDescent="0.3">
      <c r="A8745" s="2">
        <v>46022.291666666657</v>
      </c>
      <c r="B8745">
        <f>4453.71057443659*(3/4)</f>
        <v>3340.2829308274449</v>
      </c>
    </row>
    <row r="8746" spans="1:2" x14ac:dyDescent="0.3">
      <c r="A8746" s="2">
        <v>46022.333333333343</v>
      </c>
      <c r="B8746">
        <f>4427.68400635522*(3/4)</f>
        <v>3320.7630047664129</v>
      </c>
    </row>
    <row r="8747" spans="1:2" x14ac:dyDescent="0.3">
      <c r="A8747" s="2">
        <v>46022.375</v>
      </c>
      <c r="B8747">
        <f>4800*(3/4)</f>
        <v>3600</v>
      </c>
    </row>
    <row r="8748" spans="1:2" x14ac:dyDescent="0.3">
      <c r="A8748" s="2">
        <v>46022.416666666657</v>
      </c>
      <c r="B8748">
        <f>4605.60451905884*(3/4)</f>
        <v>3454.2033892941336</v>
      </c>
    </row>
    <row r="8749" spans="1:2" x14ac:dyDescent="0.3">
      <c r="A8749" s="2">
        <v>46022.458333333343</v>
      </c>
      <c r="B8749">
        <f>4634.89858527499*(3/4)</f>
        <v>3476.1739389562413</v>
      </c>
    </row>
    <row r="8750" spans="1:2" x14ac:dyDescent="0.3">
      <c r="A8750" s="2">
        <v>46022.5</v>
      </c>
      <c r="B8750">
        <f>4723.00580344388*(3/4)</f>
        <v>3542.2543525829078</v>
      </c>
    </row>
    <row r="8751" spans="1:2" x14ac:dyDescent="0.3">
      <c r="A8751" s="2">
        <v>46022.541666666657</v>
      </c>
      <c r="B8751">
        <f>4552.29743021884*(3/4)</f>
        <v>3414.2230726641269</v>
      </c>
    </row>
    <row r="8752" spans="1:2" x14ac:dyDescent="0.3">
      <c r="A8752" s="2">
        <v>46022.583333333343</v>
      </c>
      <c r="B8752">
        <f>4405.49169319969*(3/4)</f>
        <v>3304.1187698997692</v>
      </c>
    </row>
    <row r="8753" spans="1:2" x14ac:dyDescent="0.3">
      <c r="A8753" s="2">
        <v>46022.625</v>
      </c>
      <c r="B8753">
        <f>4718.95635318825*(3/4)</f>
        <v>3539.2172648911878</v>
      </c>
    </row>
    <row r="8754" spans="1:2" x14ac:dyDescent="0.3">
      <c r="A8754" s="2">
        <v>46022.666666666657</v>
      </c>
      <c r="B8754">
        <f>4215.66865525432*(3/4)</f>
        <v>3161.7514914407429</v>
      </c>
    </row>
    <row r="8755" spans="1:2" x14ac:dyDescent="0.3">
      <c r="A8755" s="2">
        <v>46022.708333333343</v>
      </c>
      <c r="B8755">
        <f>4633.18962873502*(3/4)</f>
        <v>3474.8922215512684</v>
      </c>
    </row>
    <row r="8756" spans="1:2" x14ac:dyDescent="0.3">
      <c r="A8756" s="2">
        <v>46022.75</v>
      </c>
      <c r="B8756">
        <f>4606.32346854646*(3/4)</f>
        <v>3454.7426014098473</v>
      </c>
    </row>
    <row r="8757" spans="1:2" x14ac:dyDescent="0.3">
      <c r="A8757" s="2">
        <v>46022.791666666657</v>
      </c>
      <c r="B8757">
        <f>4371.02027548954*(3/4)</f>
        <v>3278.2652066171559</v>
      </c>
    </row>
    <row r="8758" spans="1:2" x14ac:dyDescent="0.3">
      <c r="A8758" s="2">
        <v>46022.833333333343</v>
      </c>
      <c r="B8758">
        <f>4498.13310350951*(3/4)</f>
        <v>3373.5998276321288</v>
      </c>
    </row>
    <row r="8759" spans="1:2" x14ac:dyDescent="0.3">
      <c r="A8759" s="2">
        <v>46022.875</v>
      </c>
      <c r="B8759">
        <f>4355.84931628649*(3/4)</f>
        <v>3266.8869872148643</v>
      </c>
    </row>
    <row r="8760" spans="1:2" x14ac:dyDescent="0.3">
      <c r="A8760" s="2">
        <v>46022.916666666657</v>
      </c>
      <c r="B8760">
        <f>4140.86973505758*(3/4)</f>
        <v>3105.6523012931866</v>
      </c>
    </row>
    <row r="8761" spans="1:2" x14ac:dyDescent="0.3">
      <c r="A8761" s="2">
        <v>46022.958333333343</v>
      </c>
      <c r="B8761">
        <f>4423.65378484549*(3/4)</f>
        <v>3317.7403386341166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Batula Ganbold</cp:lastModifiedBy>
  <dcterms:created xsi:type="dcterms:W3CDTF">2026-02-04T09:10:31Z</dcterms:created>
  <dcterms:modified xsi:type="dcterms:W3CDTF">2026-04-28T02:58:12Z</dcterms:modified>
</cp:coreProperties>
</file>